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C\OneDrive\Desktop\Excel file\"/>
    </mc:Choice>
  </mc:AlternateContent>
  <xr:revisionPtr revIDLastSave="0" documentId="13_ncr:1_{19F225F8-2E7A-435F-9EB5-0F35B10C883E}" xr6:coauthVersionLast="36" xr6:coauthVersionMax="36" xr10:uidLastSave="{00000000-0000-0000-0000-000000000000}"/>
  <bookViews>
    <workbookView xWindow="0" yWindow="0" windowWidth="19200" windowHeight="8250" firstSheet="12" activeTab="20" xr2:uid="{71EC74A9-E988-4D89-9AD9-DCF4E72632BC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</sheets>
  <calcPr calcId="191029"/>
  <pivotCaches>
    <pivotCache cacheId="0" r:id="rId22"/>
    <pivotCache cacheId="1" r:id="rId23"/>
    <pivotCache cacheId="2" r:id="rId24"/>
    <pivotCache cacheId="3" r:id="rId25"/>
    <pivotCache cacheId="4" r:id="rId26"/>
    <pivotCache cacheId="5" r:id="rId27"/>
    <pivotCache cacheId="6" r:id="rId2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0" l="1"/>
  <c r="E6" i="20" l="1"/>
  <c r="E7" i="20"/>
  <c r="E8" i="20"/>
  <c r="E9" i="20"/>
  <c r="E10" i="20"/>
  <c r="E11" i="20"/>
  <c r="E12" i="20"/>
  <c r="E13" i="20"/>
  <c r="E14" i="20"/>
  <c r="E15" i="20"/>
  <c r="E16" i="20"/>
  <c r="E17" i="20"/>
  <c r="E18" i="20"/>
  <c r="E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D5" i="20" l="1"/>
  <c r="C5" i="20"/>
  <c r="C34" i="12" l="1"/>
  <c r="L4" i="13"/>
  <c r="D19" i="14"/>
  <c r="D20" i="14"/>
  <c r="D21" i="14"/>
  <c r="D22" i="14"/>
  <c r="D18" i="14"/>
  <c r="D4" i="19" l="1"/>
  <c r="F5" i="19"/>
  <c r="F6" i="19"/>
  <c r="F7" i="19"/>
  <c r="F8" i="19"/>
  <c r="F9" i="19"/>
  <c r="F10" i="19"/>
  <c r="F11" i="19"/>
  <c r="F12" i="19"/>
  <c r="F13" i="19"/>
  <c r="F14" i="19"/>
  <c r="F15" i="19"/>
  <c r="F4" i="19"/>
  <c r="E5" i="19"/>
  <c r="E6" i="19"/>
  <c r="E7" i="19"/>
  <c r="E8" i="19"/>
  <c r="E9" i="19"/>
  <c r="E10" i="19"/>
  <c r="E11" i="19"/>
  <c r="E12" i="19"/>
  <c r="E13" i="19"/>
  <c r="E14" i="19"/>
  <c r="E15" i="19"/>
  <c r="E4" i="19"/>
  <c r="D5" i="19"/>
  <c r="D6" i="19"/>
  <c r="D7" i="19"/>
  <c r="D8" i="19"/>
  <c r="D9" i="19"/>
  <c r="D10" i="19"/>
  <c r="D11" i="19"/>
  <c r="D12" i="19"/>
  <c r="D13" i="19"/>
  <c r="D14" i="19"/>
  <c r="D15" i="19"/>
  <c r="G6" i="2" l="1"/>
  <c r="H4" i="12" l="1"/>
  <c r="F21" i="15"/>
  <c r="F18" i="15"/>
  <c r="F19" i="15"/>
  <c r="F20" i="15"/>
  <c r="F17" i="15"/>
  <c r="E18" i="15"/>
  <c r="E19" i="15"/>
  <c r="E20" i="15"/>
  <c r="E17" i="15"/>
  <c r="C17" i="15"/>
  <c r="C18" i="15"/>
  <c r="C19" i="15"/>
  <c r="C20" i="15"/>
  <c r="B25" i="14"/>
  <c r="C33" i="14" l="1"/>
  <c r="C34" i="14"/>
  <c r="C35" i="14"/>
  <c r="C36" i="14"/>
  <c r="C32" i="14"/>
  <c r="B26" i="14"/>
  <c r="B27" i="14"/>
  <c r="B28" i="14"/>
  <c r="B29" i="14"/>
  <c r="D13" i="14" l="1"/>
  <c r="D11" i="14"/>
  <c r="D12" i="14"/>
  <c r="D10" i="14"/>
  <c r="D5" i="14"/>
  <c r="E5" i="14" s="1"/>
  <c r="D6" i="14"/>
  <c r="E6" i="14" s="1"/>
  <c r="D7" i="14"/>
  <c r="E7" i="14" s="1"/>
  <c r="D8" i="14"/>
  <c r="E8" i="14" s="1"/>
  <c r="D9" i="14"/>
  <c r="E9" i="14" s="1"/>
  <c r="D4" i="14"/>
  <c r="E4" i="14" s="1"/>
  <c r="L5" i="13"/>
  <c r="L6" i="13"/>
  <c r="L7" i="13"/>
  <c r="L8" i="13"/>
  <c r="L9" i="13"/>
  <c r="L10" i="13"/>
  <c r="L11" i="13"/>
  <c r="L12" i="13"/>
  <c r="L13" i="13"/>
  <c r="G35" i="12"/>
  <c r="G36" i="12"/>
  <c r="G37" i="12"/>
  <c r="G38" i="12"/>
  <c r="G39" i="12"/>
  <c r="G34" i="12"/>
  <c r="F34" i="12"/>
  <c r="E34" i="12"/>
  <c r="D34" i="12"/>
  <c r="K5" i="13" l="1"/>
  <c r="K6" i="13"/>
  <c r="K7" i="13"/>
  <c r="K8" i="13"/>
  <c r="K9" i="13"/>
  <c r="K10" i="13"/>
  <c r="K11" i="13"/>
  <c r="K12" i="13"/>
  <c r="K13" i="13"/>
  <c r="J5" i="13"/>
  <c r="J6" i="13"/>
  <c r="J7" i="13"/>
  <c r="J8" i="13"/>
  <c r="J9" i="13"/>
  <c r="J10" i="13"/>
  <c r="J11" i="13"/>
  <c r="J12" i="13"/>
  <c r="J13" i="13"/>
  <c r="I5" i="13"/>
  <c r="I6" i="13"/>
  <c r="I7" i="13"/>
  <c r="I8" i="13"/>
  <c r="I9" i="13"/>
  <c r="I10" i="13"/>
  <c r="I11" i="13"/>
  <c r="I12" i="13"/>
  <c r="I13" i="13"/>
  <c r="H5" i="13"/>
  <c r="H6" i="13"/>
  <c r="H7" i="13"/>
  <c r="H8" i="13"/>
  <c r="H9" i="13"/>
  <c r="H10" i="13"/>
  <c r="H11" i="13"/>
  <c r="H12" i="13"/>
  <c r="H13" i="13"/>
  <c r="K4" i="13"/>
  <c r="J4" i="13"/>
  <c r="I4" i="13"/>
  <c r="H4" i="13"/>
  <c r="F35" i="12"/>
  <c r="F36" i="12"/>
  <c r="F37" i="12"/>
  <c r="F38" i="12"/>
  <c r="F39" i="12"/>
  <c r="E38" i="12"/>
  <c r="E39" i="12"/>
  <c r="E35" i="12"/>
  <c r="E36" i="12"/>
  <c r="E37" i="12"/>
  <c r="D38" i="12"/>
  <c r="D39" i="12"/>
  <c r="D35" i="12"/>
  <c r="D36" i="12"/>
  <c r="D37" i="12"/>
  <c r="C38" i="12"/>
  <c r="C39" i="12"/>
  <c r="C36" i="12"/>
  <c r="C35" i="12"/>
  <c r="C37" i="12"/>
  <c r="C18" i="6" l="1"/>
  <c r="C21" i="2" l="1"/>
  <c r="D18" i="6"/>
  <c r="H5" i="12" l="1"/>
  <c r="H6" i="12"/>
  <c r="H7" i="12"/>
  <c r="H8" i="12"/>
  <c r="H9" i="12"/>
  <c r="H10" i="12"/>
  <c r="H24" i="12" s="1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D40" i="11"/>
  <c r="D37" i="11"/>
  <c r="H11" i="11"/>
  <c r="H25" i="12" l="1"/>
  <c r="H26" i="12"/>
  <c r="E20" i="7"/>
  <c r="D39" i="11"/>
  <c r="D38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4" i="10"/>
  <c r="I4" i="10" s="1"/>
  <c r="I5" i="10"/>
  <c r="I6" i="10"/>
  <c r="I8" i="10"/>
  <c r="I10" i="10"/>
  <c r="I11" i="10"/>
  <c r="I12" i="10"/>
  <c r="I13" i="10"/>
  <c r="I14" i="10"/>
  <c r="I15" i="10"/>
  <c r="H5" i="10" l="1"/>
  <c r="H6" i="10"/>
  <c r="H8" i="10"/>
  <c r="H10" i="10"/>
  <c r="H11" i="10"/>
  <c r="H12" i="10"/>
  <c r="H13" i="10"/>
  <c r="H14" i="10"/>
  <c r="H15" i="10"/>
  <c r="G13" i="10"/>
  <c r="G8" i="10"/>
  <c r="G6" i="10"/>
  <c r="G7" i="10"/>
  <c r="G9" i="10"/>
  <c r="H9" i="10" s="1"/>
  <c r="G10" i="10"/>
  <c r="G11" i="10"/>
  <c r="G12" i="10"/>
  <c r="G14" i="10"/>
  <c r="G15" i="10"/>
  <c r="G5" i="10"/>
  <c r="I9" i="10" l="1"/>
  <c r="H7" i="10"/>
  <c r="I7" i="10" s="1"/>
  <c r="I32" i="9"/>
  <c r="J6" i="9"/>
  <c r="I6" i="9"/>
  <c r="H6" i="9"/>
  <c r="J7" i="9" l="1"/>
  <c r="J8" i="9"/>
  <c r="J9" i="9"/>
  <c r="J10" i="9"/>
  <c r="J11" i="9"/>
  <c r="J12" i="9"/>
  <c r="J13" i="9"/>
  <c r="J14" i="9"/>
  <c r="J15" i="9"/>
  <c r="I7" i="9"/>
  <c r="I8" i="9"/>
  <c r="I9" i="9"/>
  <c r="I10" i="9"/>
  <c r="I11" i="9"/>
  <c r="I12" i="9"/>
  <c r="I13" i="9"/>
  <c r="I14" i="9"/>
  <c r="I15" i="9"/>
  <c r="H7" i="9"/>
  <c r="H8" i="9"/>
  <c r="H9" i="9"/>
  <c r="H10" i="9"/>
  <c r="H11" i="9"/>
  <c r="H12" i="9"/>
  <c r="H13" i="9"/>
  <c r="H14" i="9"/>
  <c r="H15" i="9"/>
  <c r="G7" i="9"/>
  <c r="G8" i="9"/>
  <c r="G9" i="9"/>
  <c r="G10" i="9"/>
  <c r="G11" i="9"/>
  <c r="G12" i="9"/>
  <c r="G13" i="9"/>
  <c r="G14" i="9"/>
  <c r="G15" i="9"/>
  <c r="G6" i="9"/>
  <c r="E7" i="9"/>
  <c r="E8" i="9"/>
  <c r="E9" i="9"/>
  <c r="E10" i="9"/>
  <c r="E11" i="9"/>
  <c r="E12" i="9"/>
  <c r="E13" i="9"/>
  <c r="E14" i="9"/>
  <c r="E15" i="9"/>
  <c r="E6" i="9"/>
  <c r="G24" i="8" l="1"/>
  <c r="G27" i="8"/>
  <c r="G31" i="8"/>
  <c r="F24" i="8"/>
  <c r="F10" i="8"/>
  <c r="G10" i="8" s="1"/>
  <c r="F11" i="8"/>
  <c r="G11" i="8" s="1"/>
  <c r="F12" i="8"/>
  <c r="G12" i="8" s="1"/>
  <c r="F13" i="8"/>
  <c r="G13" i="8" s="1"/>
  <c r="F14" i="8"/>
  <c r="G14" i="8" s="1"/>
  <c r="F15" i="8"/>
  <c r="G15" i="8" s="1"/>
  <c r="F16" i="8"/>
  <c r="G16" i="8" s="1"/>
  <c r="F17" i="8"/>
  <c r="G17" i="8" s="1"/>
  <c r="F18" i="8"/>
  <c r="G18" i="8" s="1"/>
  <c r="F19" i="8"/>
  <c r="G19" i="8" s="1"/>
  <c r="F20" i="8"/>
  <c r="G20" i="8" s="1"/>
  <c r="F21" i="8"/>
  <c r="G21" i="8" s="1"/>
  <c r="F22" i="8"/>
  <c r="G22" i="8" s="1"/>
  <c r="F23" i="8"/>
  <c r="G23" i="8" s="1"/>
  <c r="F25" i="8"/>
  <c r="G25" i="8" s="1"/>
  <c r="F26" i="8"/>
  <c r="G26" i="8" s="1"/>
  <c r="F27" i="8"/>
  <c r="F28" i="8"/>
  <c r="G28" i="8" s="1"/>
  <c r="F29" i="8"/>
  <c r="G29" i="8" s="1"/>
  <c r="F30" i="8"/>
  <c r="G30" i="8" s="1"/>
  <c r="F31" i="8"/>
  <c r="F32" i="8"/>
  <c r="G32" i="8" s="1"/>
  <c r="F9" i="8"/>
  <c r="G9" i="8" s="1"/>
  <c r="F8" i="8"/>
  <c r="G8" i="8" s="1"/>
  <c r="E19" i="7" l="1"/>
  <c r="J5" i="7"/>
  <c r="I5" i="7"/>
  <c r="H5" i="7"/>
  <c r="E22" i="7"/>
  <c r="E21" i="7"/>
  <c r="J6" i="7" l="1"/>
  <c r="J7" i="7"/>
  <c r="J8" i="7"/>
  <c r="J9" i="7"/>
  <c r="J10" i="7"/>
  <c r="J11" i="7"/>
  <c r="J12" i="7"/>
  <c r="J13" i="7"/>
  <c r="J14" i="7"/>
  <c r="J15" i="7"/>
  <c r="I6" i="7"/>
  <c r="I7" i="7"/>
  <c r="I8" i="7"/>
  <c r="I9" i="7"/>
  <c r="I10" i="7"/>
  <c r="I11" i="7"/>
  <c r="I12" i="7"/>
  <c r="I13" i="7"/>
  <c r="I14" i="7"/>
  <c r="I15" i="7"/>
  <c r="H6" i="7" l="1"/>
  <c r="H7" i="7"/>
  <c r="H8" i="7"/>
  <c r="H9" i="7"/>
  <c r="H10" i="7"/>
  <c r="H11" i="7"/>
  <c r="H12" i="7"/>
  <c r="H13" i="7"/>
  <c r="H14" i="7"/>
  <c r="H15" i="7"/>
  <c r="G6" i="7"/>
  <c r="G7" i="7"/>
  <c r="G8" i="7"/>
  <c r="G9" i="7"/>
  <c r="G10" i="7"/>
  <c r="G11" i="7"/>
  <c r="G12" i="7"/>
  <c r="G13" i="7"/>
  <c r="G14" i="7"/>
  <c r="G15" i="7"/>
  <c r="G5" i="7"/>
  <c r="D22" i="6" l="1"/>
  <c r="D19" i="6"/>
  <c r="D20" i="6"/>
  <c r="D21" i="6"/>
  <c r="E19" i="6"/>
  <c r="E20" i="6"/>
  <c r="E21" i="6"/>
  <c r="E22" i="6"/>
  <c r="E18" i="6"/>
  <c r="C22" i="6"/>
  <c r="C21" i="6"/>
  <c r="C20" i="6"/>
  <c r="C19" i="6"/>
  <c r="B22" i="6"/>
  <c r="B21" i="6"/>
  <c r="B20" i="6"/>
  <c r="B19" i="6"/>
  <c r="B18" i="6"/>
  <c r="F6" i="6" l="1"/>
  <c r="F7" i="6"/>
  <c r="F8" i="6"/>
  <c r="F18" i="6" s="1"/>
  <c r="F9" i="6"/>
  <c r="F20" i="6" s="1"/>
  <c r="F10" i="6"/>
  <c r="F11" i="6"/>
  <c r="F22" i="6" s="1"/>
  <c r="F12" i="6"/>
  <c r="F13" i="6"/>
  <c r="F19" i="6" s="1"/>
  <c r="F5" i="6"/>
  <c r="F21" i="6" s="1"/>
  <c r="F4" i="6"/>
  <c r="F22" i="4" l="1"/>
  <c r="F23" i="4"/>
  <c r="F24" i="4"/>
  <c r="F25" i="4"/>
  <c r="F26" i="4"/>
  <c r="F27" i="4"/>
  <c r="F21" i="4"/>
  <c r="E22" i="4"/>
  <c r="E23" i="4"/>
  <c r="E24" i="4"/>
  <c r="E25" i="4"/>
  <c r="E26" i="4"/>
  <c r="E27" i="4"/>
  <c r="E21" i="4"/>
  <c r="F4" i="4" l="1"/>
  <c r="D27" i="4"/>
  <c r="D25" i="4"/>
  <c r="D24" i="4"/>
  <c r="D23" i="4"/>
  <c r="D22" i="4" l="1"/>
  <c r="D26" i="4"/>
  <c r="D21" i="4"/>
  <c r="B21" i="4"/>
  <c r="C27" i="4"/>
  <c r="C26" i="4"/>
  <c r="C25" i="4"/>
  <c r="C24" i="4"/>
  <c r="C23" i="4"/>
  <c r="C22" i="4"/>
  <c r="C21" i="4"/>
  <c r="B27" i="4"/>
  <c r="B26" i="4"/>
  <c r="B25" i="4"/>
  <c r="B24" i="4"/>
  <c r="B23" i="4"/>
  <c r="B22" i="4"/>
  <c r="F7" i="4" l="1"/>
  <c r="F8" i="4"/>
  <c r="F9" i="4"/>
  <c r="F10" i="4"/>
  <c r="F11" i="4"/>
  <c r="F12" i="4"/>
  <c r="F13" i="4"/>
  <c r="F14" i="4"/>
  <c r="F15" i="4"/>
  <c r="F16" i="4"/>
  <c r="F17" i="4"/>
  <c r="F6" i="4"/>
  <c r="F5" i="4"/>
  <c r="D29" i="2" l="1"/>
  <c r="D30" i="2"/>
  <c r="D28" i="2"/>
  <c r="D27" i="2"/>
  <c r="C29" i="2"/>
  <c r="C28" i="2"/>
  <c r="C30" i="2"/>
  <c r="C27" i="2"/>
  <c r="D21" i="2" l="1"/>
  <c r="D24" i="2"/>
  <c r="D23" i="2"/>
  <c r="D22" i="2"/>
  <c r="C24" i="2"/>
  <c r="C23" i="2"/>
  <c r="C22" i="2"/>
  <c r="G18" i="2" l="1"/>
  <c r="G7" i="2"/>
  <c r="G8" i="2"/>
  <c r="G9" i="2"/>
  <c r="G10" i="2"/>
  <c r="G11" i="2"/>
  <c r="G12" i="2"/>
  <c r="G13" i="2"/>
  <c r="G14" i="2"/>
  <c r="G15" i="2"/>
  <c r="G16" i="2"/>
  <c r="G17" i="2"/>
  <c r="H26" i="1" l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25" i="1"/>
  <c r="E17" i="1"/>
  <c r="F17" i="1"/>
  <c r="G17" i="1"/>
  <c r="H17" i="1"/>
  <c r="E15" i="1"/>
  <c r="D17" i="1"/>
  <c r="C17" i="1"/>
  <c r="H12" i="1" l="1"/>
  <c r="H13" i="1"/>
  <c r="H14" i="1"/>
  <c r="H15" i="1"/>
  <c r="H11" i="1"/>
  <c r="G12" i="1"/>
  <c r="G13" i="1"/>
  <c r="G14" i="1"/>
  <c r="G15" i="1"/>
  <c r="G11" i="1"/>
  <c r="F15" i="1"/>
  <c r="F12" i="1"/>
  <c r="F13" i="1"/>
  <c r="F14" i="1"/>
  <c r="F11" i="1"/>
  <c r="D15" i="1"/>
  <c r="C15" i="1"/>
  <c r="H9" i="1" l="1"/>
  <c r="H6" i="1"/>
  <c r="H7" i="1"/>
  <c r="H8" i="1"/>
  <c r="H5" i="1"/>
  <c r="G8" i="1"/>
  <c r="G7" i="1"/>
  <c r="G6" i="1"/>
  <c r="G5" i="1"/>
  <c r="G9" i="1" s="1"/>
  <c r="F6" i="1"/>
  <c r="F7" i="1"/>
  <c r="F8" i="1"/>
  <c r="F5" i="1"/>
  <c r="F9" i="1" s="1"/>
  <c r="E9" i="1"/>
  <c r="D9" i="1"/>
  <c r="C9" i="1"/>
</calcChain>
</file>

<file path=xl/sharedStrings.xml><?xml version="1.0" encoding="utf-8"?>
<sst xmlns="http://schemas.openxmlformats.org/spreadsheetml/2006/main" count="1083" uniqueCount="591">
  <si>
    <t>Exercise01</t>
  </si>
  <si>
    <t>A</t>
  </si>
  <si>
    <t>B</t>
  </si>
  <si>
    <t>C</t>
  </si>
  <si>
    <t>D</t>
  </si>
  <si>
    <t>E</t>
  </si>
  <si>
    <t>F</t>
  </si>
  <si>
    <t>G</t>
  </si>
  <si>
    <t>Accounting</t>
  </si>
  <si>
    <t>Sake</t>
  </si>
  <si>
    <t>Rents</t>
  </si>
  <si>
    <t>Royalties</t>
  </si>
  <si>
    <t>Transport</t>
  </si>
  <si>
    <t>Total Revenues</t>
  </si>
  <si>
    <t>Purchases</t>
  </si>
  <si>
    <t>Salaries</t>
  </si>
  <si>
    <t>Commisiions</t>
  </si>
  <si>
    <t>Ulties</t>
  </si>
  <si>
    <t>Total Expense</t>
  </si>
  <si>
    <t>Net Income</t>
  </si>
  <si>
    <t>Sep</t>
  </si>
  <si>
    <t>Oct</t>
  </si>
  <si>
    <t>Nov</t>
  </si>
  <si>
    <t>Maximum</t>
  </si>
  <si>
    <t>Minimum</t>
  </si>
  <si>
    <t>Average</t>
  </si>
  <si>
    <t>Date</t>
  </si>
  <si>
    <t>Goods</t>
  </si>
  <si>
    <t>Invoise</t>
  </si>
  <si>
    <t>Seller</t>
  </si>
  <si>
    <t>Qty</t>
  </si>
  <si>
    <t>Unit Price</t>
  </si>
  <si>
    <t>Amount</t>
  </si>
  <si>
    <t>B8-B14</t>
  </si>
  <si>
    <t>Total Revenues=</t>
  </si>
  <si>
    <t>Maximum=</t>
  </si>
  <si>
    <t>Net Income=</t>
  </si>
  <si>
    <t>SUM(B4;B7)</t>
  </si>
  <si>
    <t>Max(B4;D4)</t>
  </si>
  <si>
    <t>Caraboa</t>
  </si>
  <si>
    <t>Samurai</t>
  </si>
  <si>
    <t>Cocacola</t>
  </si>
  <si>
    <t>Fanta</t>
  </si>
  <si>
    <t>Redbull</t>
  </si>
  <si>
    <t>Bacchush</t>
  </si>
  <si>
    <t>Sting</t>
  </si>
  <si>
    <t>CLS001</t>
  </si>
  <si>
    <t>CLS002</t>
  </si>
  <si>
    <t>CLS003</t>
  </si>
  <si>
    <t>CLS004</t>
  </si>
  <si>
    <t>CLS005</t>
  </si>
  <si>
    <t>CLS006</t>
  </si>
  <si>
    <t>CLS007</t>
  </si>
  <si>
    <t>CLS008</t>
  </si>
  <si>
    <t>CLS009</t>
  </si>
  <si>
    <t>CLS0010</t>
  </si>
  <si>
    <t>CLS0011</t>
  </si>
  <si>
    <t>CLS0012</t>
  </si>
  <si>
    <t>CLS0013</t>
  </si>
  <si>
    <t>CLS0014</t>
  </si>
  <si>
    <t>CLS0015</t>
  </si>
  <si>
    <t>CLS0016</t>
  </si>
  <si>
    <t>CLS0017</t>
  </si>
  <si>
    <t>CLS0018</t>
  </si>
  <si>
    <t>CLS0019</t>
  </si>
  <si>
    <t>CLS0020</t>
  </si>
  <si>
    <t>DARA</t>
  </si>
  <si>
    <t>BONA</t>
  </si>
  <si>
    <t>VUTHA</t>
  </si>
  <si>
    <t>CHANDA</t>
  </si>
  <si>
    <t>SOPHEAK</t>
  </si>
  <si>
    <t>TRA</t>
  </si>
  <si>
    <t>MALA</t>
  </si>
  <si>
    <t>DOPHEAK</t>
  </si>
  <si>
    <t xml:space="preserve">Exercise02
Customer order 
</t>
  </si>
  <si>
    <t>Exchange rate 1$=</t>
  </si>
  <si>
    <t>Customer Name</t>
  </si>
  <si>
    <t>Product</t>
  </si>
  <si>
    <t>Loem Leena</t>
  </si>
  <si>
    <t>Soeurn Vany</t>
  </si>
  <si>
    <t>Chin Sopheavy</t>
  </si>
  <si>
    <t>Zrie Somphors</t>
  </si>
  <si>
    <t>Sorn Theara</t>
  </si>
  <si>
    <t>Dara Vichhai</t>
  </si>
  <si>
    <t>ABC</t>
  </si>
  <si>
    <t>TIGER</t>
  </si>
  <si>
    <t>ANCHOR</t>
  </si>
  <si>
    <t>BLACK LABEL</t>
  </si>
  <si>
    <t>CROWN</t>
  </si>
  <si>
    <t>Total=</t>
  </si>
  <si>
    <t>Total</t>
  </si>
  <si>
    <r>
      <t>N</t>
    </r>
    <r>
      <rPr>
        <vertAlign val="superscript"/>
        <sz val="11"/>
        <color theme="1"/>
        <rFont val="Times New Roman"/>
        <family val="1"/>
      </rPr>
      <t>0</t>
    </r>
  </si>
  <si>
    <t>Customer</t>
  </si>
  <si>
    <t>Total in riel</t>
  </si>
  <si>
    <t>Soeurn vany</t>
  </si>
  <si>
    <t>Product Name</t>
  </si>
  <si>
    <r>
      <t>Count of N</t>
    </r>
    <r>
      <rPr>
        <vertAlign val="superscript"/>
        <sz val="11"/>
        <color theme="1"/>
        <rFont val="Times New Roman"/>
        <family val="1"/>
      </rPr>
      <t>0</t>
    </r>
  </si>
  <si>
    <t>exersice03</t>
  </si>
  <si>
    <t>Creating Chart</t>
  </si>
  <si>
    <t>Repair</t>
  </si>
  <si>
    <t>Corel</t>
  </si>
  <si>
    <t>Ad-Excel</t>
  </si>
  <si>
    <t>IT Basic</t>
  </si>
  <si>
    <t>ល.រ</t>
  </si>
  <si>
    <t>ឈ្មោះទំនិញ</t>
  </si>
  <si>
    <t>ចំនួន</t>
  </si>
  <si>
    <t>តម្លៃរាយ</t>
  </si>
  <si>
    <t>បញ្ចុះតម្លៃ</t>
  </si>
  <si>
    <t>សរុប</t>
  </si>
  <si>
    <t>EXERCISE 04</t>
  </si>
  <si>
    <t>ភេសជ្ជៈ</t>
  </si>
  <si>
    <t>សាំម៉ូរ៉ាយ</t>
  </si>
  <si>
    <t>កូកាកូឡា</t>
  </si>
  <si>
    <t>គោជល់</t>
  </si>
  <si>
    <t>ខារ៉ាបៅ</t>
  </si>
  <si>
    <t>ហ្វាន់តា</t>
  </si>
  <si>
    <t>អ៊ីឈ៊ីតាន់</t>
  </si>
  <si>
    <t>បាកាស</t>
  </si>
  <si>
    <t>អូអ៊ីឈិ</t>
  </si>
  <si>
    <t>ស្រ្ពៃ</t>
  </si>
  <si>
    <t>សូដា</t>
  </si>
  <si>
    <t>ប៉ូការីស្វេត</t>
  </si>
  <si>
    <t>ស្ទីង</t>
  </si>
  <si>
    <t>អាឃ្វ័ររៀល</t>
  </si>
  <si>
    <t>ប៉ិបស៊ី</t>
  </si>
  <si>
    <t>N0</t>
  </si>
  <si>
    <t>Name</t>
  </si>
  <si>
    <t>Sex</t>
  </si>
  <si>
    <t>Date of birth</t>
  </si>
  <si>
    <t>Place of birth</t>
  </si>
  <si>
    <t>Function</t>
  </si>
  <si>
    <t>Exercise05</t>
  </si>
  <si>
    <t>Chumkriel Language School</t>
  </si>
  <si>
    <t>(Insert Pivolable)</t>
  </si>
  <si>
    <t>MOUEY SEHA</t>
  </si>
  <si>
    <t>TAP KEANTHA</t>
  </si>
  <si>
    <t>EANG CHEND</t>
  </si>
  <si>
    <t>PHANG MONA</t>
  </si>
  <si>
    <t>HEN SENGHAI</t>
  </si>
  <si>
    <t>CHHOUM SEA</t>
  </si>
  <si>
    <t>THOUK SOKH</t>
  </si>
  <si>
    <t>MAL MAO</t>
  </si>
  <si>
    <t>OEUNG LEAN</t>
  </si>
  <si>
    <t>POV KOTY</t>
  </si>
  <si>
    <t>CHEA VANNDA</t>
  </si>
  <si>
    <t>LAO PICHSOPI</t>
  </si>
  <si>
    <t>DAVA DYNA</t>
  </si>
  <si>
    <t>LY CHANNA</t>
  </si>
  <si>
    <t>TANN DARO</t>
  </si>
  <si>
    <t>M</t>
  </si>
  <si>
    <t>Prey Veng</t>
  </si>
  <si>
    <t>Takoe</t>
  </si>
  <si>
    <t>Phnom Penh</t>
  </si>
  <si>
    <t>Kandal</t>
  </si>
  <si>
    <t>Svay Rieng</t>
  </si>
  <si>
    <t>Kampong Cham</t>
  </si>
  <si>
    <t>Kratie</t>
  </si>
  <si>
    <t>Kampong Thom</t>
  </si>
  <si>
    <t>Receptionist</t>
  </si>
  <si>
    <t>Teacher</t>
  </si>
  <si>
    <t>Security</t>
  </si>
  <si>
    <t>Sale</t>
  </si>
  <si>
    <t>Sale Supervise</t>
  </si>
  <si>
    <t>Director</t>
  </si>
  <si>
    <t>Cleaner</t>
  </si>
  <si>
    <t>Sum of Salaries</t>
  </si>
  <si>
    <t>Row Labels</t>
  </si>
  <si>
    <t>Grand Total</t>
  </si>
  <si>
    <t>Count of Sex</t>
  </si>
  <si>
    <t>Count of Place of birth</t>
  </si>
  <si>
    <t>Count of Salaries</t>
  </si>
  <si>
    <t>Count of Function</t>
  </si>
  <si>
    <t>QTY</t>
  </si>
  <si>
    <t>Discount</t>
  </si>
  <si>
    <t>Monitor</t>
  </si>
  <si>
    <t>Printer</t>
  </si>
  <si>
    <t>Keyboard</t>
  </si>
  <si>
    <t>Mouse</t>
  </si>
  <si>
    <t>Speaker</t>
  </si>
  <si>
    <t>RAM</t>
  </si>
  <si>
    <t>Hard Disk</t>
  </si>
  <si>
    <t>CD</t>
  </si>
  <si>
    <t>Floopy Disk</t>
  </si>
  <si>
    <t>CPU</t>
  </si>
  <si>
    <t>Exercise06</t>
  </si>
  <si>
    <t>Amount=</t>
  </si>
  <si>
    <t>D4*E4-(D4*E4*F4)</t>
  </si>
  <si>
    <t>១​.ចូរគណនាតម្លៃសរុបនៅក្នុងតារាងខាងក្រោម</t>
  </si>
  <si>
    <t>Speaker=</t>
  </si>
  <si>
    <t>LOOKUP(B17,$B$4:$B$13,$C$4:$C$13)</t>
  </si>
  <si>
    <t>៣.ចូរបង្កើត​ Pivot Table Report​ តាមរយះតារាងខាងក្រោមនេះ</t>
  </si>
  <si>
    <t>២.ចូលបង្កើតតារាងខាងក្រោមនេះដោយគណនាតាមរូមបមន្ត​ Lookup</t>
  </si>
  <si>
    <t>NO</t>
  </si>
  <si>
    <t>Men Chandarith</t>
  </si>
  <si>
    <t>Chea Nita</t>
  </si>
  <si>
    <t>Ken Kanica</t>
  </si>
  <si>
    <t>Bo Chamroern</t>
  </si>
  <si>
    <t>Tith Kunthea</t>
  </si>
  <si>
    <t>Theng Kosal</t>
  </si>
  <si>
    <t>Meas Somnang</t>
  </si>
  <si>
    <t>Phun Daravotey</t>
  </si>
  <si>
    <t>Khum Sina</t>
  </si>
  <si>
    <t>Leang Thida</t>
  </si>
  <si>
    <t>Driver</t>
  </si>
  <si>
    <t>Police</t>
  </si>
  <si>
    <t>ID</t>
  </si>
  <si>
    <t>LEANG CHANTH0RN</t>
  </si>
  <si>
    <t>NITH VATTANA</t>
  </si>
  <si>
    <t>KHUM CHANTREA</t>
  </si>
  <si>
    <t>LAY KIMLENG</t>
  </si>
  <si>
    <t>PHO LONGSREANG</t>
  </si>
  <si>
    <t>BROM LAYOU</t>
  </si>
  <si>
    <t>SOK RYNA</t>
  </si>
  <si>
    <t>Score</t>
  </si>
  <si>
    <t>M.s  Word</t>
  </si>
  <si>
    <t>M.s  Excel</t>
  </si>
  <si>
    <t>Result</t>
  </si>
  <si>
    <t>Grade</t>
  </si>
  <si>
    <t>Rank</t>
  </si>
  <si>
    <t>SOUT SOCHOURN</t>
  </si>
  <si>
    <t>SITH SOPHAT</t>
  </si>
  <si>
    <t>LY SIVHOUR</t>
  </si>
  <si>
    <t>OUM VEASNA</t>
  </si>
  <si>
    <t>Exercise07</t>
  </si>
  <si>
    <t>Word and Excel 2010 Exam Result</t>
  </si>
  <si>
    <r>
      <t>N</t>
    </r>
    <r>
      <rPr>
        <vertAlign val="superscript"/>
        <sz val="11"/>
        <color theme="1"/>
        <rFont val="AKbalthom Korea"/>
      </rPr>
      <t>0</t>
    </r>
  </si>
  <si>
    <t>១.ចូររាប់ចំនួនមធ្យមភាគនៃសិស្សដែលបាន​ តូចជាង៦០​ ធំជាងឬស្មើ៦០ ធំជាង៩០ និង រាប់ចំនួនសិស្ស​ប្រុស</t>
  </si>
  <si>
    <t>Count average students Under 60</t>
  </si>
  <si>
    <t>Key</t>
  </si>
  <si>
    <t>Count students more then or Equal 60</t>
  </si>
  <si>
    <t>Count average of students more than 90</t>
  </si>
  <si>
    <t>How many student's Male</t>
  </si>
  <si>
    <r>
      <t xml:space="preserve">Average </t>
    </r>
    <r>
      <rPr>
        <sz val="11"/>
        <color rgb="FF0070C0"/>
        <rFont val="Calibri"/>
        <family val="2"/>
        <scheme val="minor"/>
      </rPr>
      <t>=AVERAGE(E6:F6)</t>
    </r>
  </si>
  <si>
    <r>
      <t xml:space="preserve">Result </t>
    </r>
    <r>
      <rPr>
        <sz val="11"/>
        <color rgb="FF0070C0"/>
        <rFont val="Calibri"/>
        <family val="2"/>
        <scheme val="minor"/>
      </rPr>
      <t>=IF(G5&lt;60,"FALSE","PASS")</t>
    </r>
  </si>
  <si>
    <r>
      <t xml:space="preserve">Grade </t>
    </r>
    <r>
      <rPr>
        <sz val="11"/>
        <color rgb="FF0070C0"/>
        <rFont val="Calibri"/>
        <family val="2"/>
        <scheme val="minor"/>
      </rPr>
      <t>=IF(G5&gt;90,"A",IF(G5&gt;80,"B",IF(G5&gt;70,"C",IF(G5&gt;60,"D",IF(G5&gt;50,"E","F")))))</t>
    </r>
  </si>
  <si>
    <r>
      <t xml:space="preserve">Rank </t>
    </r>
    <r>
      <rPr>
        <sz val="11"/>
        <color rgb="FF0070C0"/>
        <rFont val="Calibri"/>
        <family val="2"/>
        <scheme val="minor"/>
      </rPr>
      <t>=RANK(G5,$G$5:$G$15)</t>
    </r>
  </si>
  <si>
    <t>Count average students Under 60                                  =COUNTIF(G5:G15,"&lt;60")</t>
  </si>
  <si>
    <t>Address</t>
  </si>
  <si>
    <t>Old Number</t>
  </si>
  <si>
    <t>New Number</t>
  </si>
  <si>
    <t>Use KW</t>
  </si>
  <si>
    <t>LYLY</t>
  </si>
  <si>
    <t>SEHA</t>
  </si>
  <si>
    <t>CHANTHA</t>
  </si>
  <si>
    <t>VICHET</t>
  </si>
  <si>
    <t>BUNLEAP</t>
  </si>
  <si>
    <t>SOPHEA</t>
  </si>
  <si>
    <t>SARY</t>
  </si>
  <si>
    <t>VITOU</t>
  </si>
  <si>
    <t>DAVY</t>
  </si>
  <si>
    <t>NADY</t>
  </si>
  <si>
    <t>TINTIN</t>
  </si>
  <si>
    <t>FRANE</t>
  </si>
  <si>
    <t>JOHN</t>
  </si>
  <si>
    <t>BOPHA</t>
  </si>
  <si>
    <t>KANIKA</t>
  </si>
  <si>
    <t>CHARA</t>
  </si>
  <si>
    <t>SANYA</t>
  </si>
  <si>
    <t>RAVY</t>
  </si>
  <si>
    <t>ROTHAY</t>
  </si>
  <si>
    <t>SAKADA</t>
  </si>
  <si>
    <t>MEANGHUT</t>
  </si>
  <si>
    <t>RATHANAK</t>
  </si>
  <si>
    <t>REKSMEY</t>
  </si>
  <si>
    <t>VANTHY</t>
  </si>
  <si>
    <t>#18,St 15, Chamkarmon</t>
  </si>
  <si>
    <t>#18, St 15, Chamkarmon</t>
  </si>
  <si>
    <t>#8, St 102, Chamkarmon</t>
  </si>
  <si>
    <t>#50A, St 169, Meanchey</t>
  </si>
  <si>
    <t>#23, St 28, Meanchey</t>
  </si>
  <si>
    <t>#12, St 35, Meanchey</t>
  </si>
  <si>
    <t>#5Eo, St 159, 7Makara</t>
  </si>
  <si>
    <t>#23, St 125, Toultumpong</t>
  </si>
  <si>
    <t>#88, Sihaknouk Blvd</t>
  </si>
  <si>
    <t>#12Eo, St 22, Meanchey</t>
  </si>
  <si>
    <t>#Aeo, St 149, &amp;Makara</t>
  </si>
  <si>
    <t>#18, Sihaknouk Blvd</t>
  </si>
  <si>
    <t>#309, St 232, Meanchey</t>
  </si>
  <si>
    <t>#109, St232, Psartmey</t>
  </si>
  <si>
    <t>#349, St 330, Toulkok</t>
  </si>
  <si>
    <t>#18A, 7Makara</t>
  </si>
  <si>
    <t>#50, St 95, 7Makara</t>
  </si>
  <si>
    <t>#4Eo, St 203, Chamkarmon</t>
  </si>
  <si>
    <t>#29Eo, St 403, Meanchey</t>
  </si>
  <si>
    <t>#94Ao, St 360, Psartmey</t>
  </si>
  <si>
    <t>#41Bo, St 379, Meanchey</t>
  </si>
  <si>
    <t>#13, St 279, Vealvong</t>
  </si>
  <si>
    <t>#18A, Toultumpong</t>
  </si>
  <si>
    <t>#1Eo, St 15, Sihaknouk Blvd</t>
  </si>
  <si>
    <t>#12AEo, St 23, Meanchey</t>
  </si>
  <si>
    <t>Exercise08</t>
  </si>
  <si>
    <t>របៀបគណនាតម្លៃអគ្គីសនី</t>
  </si>
  <si>
    <t>លក្ខខណ្ឌះ</t>
  </si>
  <si>
    <t>ពី 1KW ដល់​ 50KW តម្លៃ 350, ពី 1KW ដល់ 100KW តម្លៃ 500, ពី 101KW ឡើងទៅ តម្លៃ 650</t>
  </si>
  <si>
    <r>
      <t>N</t>
    </r>
    <r>
      <rPr>
        <vertAlign val="superscript"/>
        <sz val="11"/>
        <color theme="1" tint="4.9989318521683403E-2"/>
        <rFont val="AKbalthom TNRB"/>
      </rPr>
      <t>0</t>
    </r>
  </si>
  <si>
    <r>
      <t>Use KW</t>
    </r>
    <r>
      <rPr>
        <sz val="11"/>
        <color rgb="FFFF0000"/>
        <rFont val="AKbalthom Korea"/>
      </rPr>
      <t xml:space="preserve">  </t>
    </r>
    <r>
      <rPr>
        <sz val="11"/>
        <color theme="4"/>
        <rFont val="AKbalthom Korea"/>
      </rPr>
      <t>= E7-D7</t>
    </r>
  </si>
  <si>
    <r>
      <t xml:space="preserve">Total </t>
    </r>
    <r>
      <rPr>
        <sz val="11"/>
        <color theme="4"/>
        <rFont val="AKbalthom Korea"/>
      </rPr>
      <t>=IF(F24&lt;=50,F24*350,IF(F24&lt;=100,F24*550,IF(F24&gt;100,F24*650)))</t>
    </r>
  </si>
  <si>
    <t>Description</t>
  </si>
  <si>
    <t>Quatity</t>
  </si>
  <si>
    <t>Unit P</t>
  </si>
  <si>
    <t>Am P</t>
  </si>
  <si>
    <t>Unit S</t>
  </si>
  <si>
    <t>Am S</t>
  </si>
  <si>
    <t>Profit</t>
  </si>
  <si>
    <t>Loss</t>
  </si>
  <si>
    <t>Notify</t>
  </si>
  <si>
    <t>LCD</t>
  </si>
  <si>
    <t>HDD</t>
  </si>
  <si>
    <t>POWER SUPPLY</t>
  </si>
  <si>
    <t>NETWORK CARD</t>
  </si>
  <si>
    <t>MOUSE</t>
  </si>
  <si>
    <t>MAIN BOARD</t>
  </si>
  <si>
    <t>SPEAKER</t>
  </si>
  <si>
    <t>KEY BOARD</t>
  </si>
  <si>
    <t>DVD RW</t>
  </si>
  <si>
    <t>Exercises09</t>
  </si>
  <si>
    <t>Profit and Loss (P&amp;L)</t>
  </si>
  <si>
    <r>
      <t>N</t>
    </r>
    <r>
      <rPr>
        <vertAlign val="superscript"/>
        <sz val="11"/>
        <color theme="1"/>
        <rFont val="Algerian"/>
        <family val="5"/>
      </rPr>
      <t>0</t>
    </r>
  </si>
  <si>
    <r>
      <t xml:space="preserve">Am P </t>
    </r>
    <r>
      <rPr>
        <sz val="11"/>
        <color rgb="FFC00000"/>
        <rFont val="Calibri"/>
        <family val="2"/>
        <scheme val="minor"/>
      </rPr>
      <t>=C6*D6</t>
    </r>
  </si>
  <si>
    <r>
      <t xml:space="preserve">Am S </t>
    </r>
    <r>
      <rPr>
        <sz val="11"/>
        <color rgb="FFC00000"/>
        <rFont val="Calibri"/>
        <family val="2"/>
        <scheme val="minor"/>
      </rPr>
      <t>=F6*C6</t>
    </r>
  </si>
  <si>
    <r>
      <t xml:space="preserve">Profit </t>
    </r>
    <r>
      <rPr>
        <sz val="11"/>
        <color theme="4" tint="-0.249977111117893"/>
        <rFont val="Calibri"/>
        <family val="2"/>
        <scheme val="minor"/>
      </rPr>
      <t>=IF(G6&gt;E6,G6-E6,IF(G6&lt;E6,"_"))</t>
    </r>
  </si>
  <si>
    <r>
      <t xml:space="preserve">Loss </t>
    </r>
    <r>
      <rPr>
        <sz val="11"/>
        <color theme="4" tint="-0.249977111117893"/>
        <rFont val="Calibri"/>
        <family val="2"/>
        <scheme val="minor"/>
      </rPr>
      <t>=IF(G6&lt;E6,E6-G6,IF(G6&gt;E6,"_"))</t>
    </r>
  </si>
  <si>
    <r>
      <t xml:space="preserve">Notify </t>
    </r>
    <r>
      <rPr>
        <sz val="11"/>
        <color theme="4" tint="-0.249977111117893"/>
        <rFont val="Calibri"/>
        <family val="2"/>
        <scheme val="minor"/>
      </rPr>
      <t>=IF(G6&gt;E6,"PROFIT",IF(G6&lt;E6,"LOSS"))</t>
    </r>
  </si>
  <si>
    <t>MAKING INVOICE</t>
  </si>
  <si>
    <t>BITC CO</t>
  </si>
  <si>
    <t>Invoice no</t>
  </si>
  <si>
    <t>No</t>
  </si>
  <si>
    <t>BITC001</t>
  </si>
  <si>
    <t>POR PHENG</t>
  </si>
  <si>
    <t>PHNOM PHEN</t>
  </si>
  <si>
    <t>PHONE</t>
  </si>
  <si>
    <t>MALE</t>
  </si>
  <si>
    <t>DATE</t>
  </si>
  <si>
    <t>ORDER No</t>
  </si>
  <si>
    <t>LCD 17"</t>
  </si>
  <si>
    <t>Umit Price</t>
  </si>
  <si>
    <t>E32*F32</t>
  </si>
  <si>
    <t>ឈ្នោះអតិថិជន</t>
  </si>
  <si>
    <t>ថ្ងៃចូស្នាក់</t>
  </si>
  <si>
    <t>ថ្ងៃចេញ</t>
  </si>
  <si>
    <t>ប្រភេទបន្ទប់</t>
  </si>
  <si>
    <t>ចំនួនថ្ងៃស្នាក់នៅ</t>
  </si>
  <si>
    <t>តម្លៃជួល</t>
  </si>
  <si>
    <t>ចំណាយលើបន្ទប់</t>
  </si>
  <si>
    <t>Exercise10</t>
  </si>
  <si>
    <t>តារាងចំណូល​ Hotel A</t>
  </si>
  <si>
    <t>LENG CHANTHORN</t>
  </si>
  <si>
    <t>NITH VATHANA</t>
  </si>
  <si>
    <t>LAY KIMLANG</t>
  </si>
  <si>
    <t>BROM LAYYOU</t>
  </si>
  <si>
    <t>SOUT SOCHOEUN</t>
  </si>
  <si>
    <t>SOK VEASNA</t>
  </si>
  <si>
    <t>H</t>
  </si>
  <si>
    <t>១ ចូរគណនារកអាយុរបស់បុគ្គលិកម្នាក់</t>
  </si>
  <si>
    <t>២ ចូរគណនារកថ្ងៃចូលនិវត្តន៏របស់បុគ្គលិកដោយដឹងថាៈ</t>
  </si>
  <si>
    <t>៣ ចូររាប់ចំនួនបុគ្គលិកភេទស្រីនិងភេទប្រុស</t>
  </si>
  <si>
    <t>៤ ចូររាប់អាយុរបស់បុគ្គលិកធំជាង ១៩ឆ្នាំ និង តូចជាងឬស្មើ១៩ឆ្នាំ</t>
  </si>
  <si>
    <t>​​   ក​ ប្រសិនបើបុគ្គលិកភេទប្រុសអាចធ្វើការដល់អាយុ​ ៦០ឆ្នាំ</t>
  </si>
  <si>
    <t>​   ខ ប្រសិនបើបុគ្គលិកភេទស្រីអាចធ្វើការដល់អាយុ ៥៥ឆ្នាំ</t>
  </si>
  <si>
    <t>DOB</t>
  </si>
  <si>
    <t>POB</t>
  </si>
  <si>
    <t>Age</t>
  </si>
  <si>
    <t>Retire Date</t>
  </si>
  <si>
    <t>Exercise11</t>
  </si>
  <si>
    <t>VICHHAI</t>
  </si>
  <si>
    <t>BOVITHANA</t>
  </si>
  <si>
    <t>VEASNA</t>
  </si>
  <si>
    <t>LEEHENG</t>
  </si>
  <si>
    <t>MALIN</t>
  </si>
  <si>
    <t>SREAYNEANG</t>
  </si>
  <si>
    <t>SREAYLEAK</t>
  </si>
  <si>
    <t>MINEA</t>
  </si>
  <si>
    <t>LALAEN</t>
  </si>
  <si>
    <t>RONY</t>
  </si>
  <si>
    <t>YSOUE</t>
  </si>
  <si>
    <t>SEANGHUY</t>
  </si>
  <si>
    <t>KEA</t>
  </si>
  <si>
    <t>SONICH</t>
  </si>
  <si>
    <t>MANYNA</t>
  </si>
  <si>
    <t>SAROS</t>
  </si>
  <si>
    <t>SEETORS</t>
  </si>
  <si>
    <t>SREYPOV</t>
  </si>
  <si>
    <t>SREYTANG</t>
  </si>
  <si>
    <t>PANNA</t>
  </si>
  <si>
    <t>REAKSMEY</t>
  </si>
  <si>
    <t>NAREE</t>
  </si>
  <si>
    <t>SINAK</t>
  </si>
  <si>
    <t>FEMALE</t>
  </si>
  <si>
    <t>Battambamg</t>
  </si>
  <si>
    <t>Preyveng</t>
  </si>
  <si>
    <t>Pursat</t>
  </si>
  <si>
    <t xml:space="preserve">Kampong Cham </t>
  </si>
  <si>
    <t>Kampot</t>
  </si>
  <si>
    <t>Siemreap</t>
  </si>
  <si>
    <t xml:space="preserve">Kampong Thom </t>
  </si>
  <si>
    <t>Tbong Kmum</t>
  </si>
  <si>
    <t>Takeo</t>
  </si>
  <si>
    <t>តម្លៃបន្ទប់ប្រចាំថ្ងៃ</t>
  </si>
  <si>
    <t>ចំណាយតាមបន្ទប់</t>
  </si>
  <si>
    <r>
      <t>តម្លៃជួល</t>
    </r>
    <r>
      <rPr>
        <sz val="11"/>
        <color rgb="FFFF0000"/>
        <rFont val="Calibri"/>
        <family val="2"/>
        <scheme val="minor"/>
      </rPr>
      <t>=IF(E4="A",F4*$C$18,IF(E4="B",F4*$C$19,IF(E4="C",F4*$C$20,IF(E4="D",F4*$C$21,IF(E4="E",F4*C21)))))</t>
    </r>
  </si>
  <si>
    <r>
      <t>ចំណាយលើបន្ទប់</t>
    </r>
    <r>
      <rPr>
        <sz val="11"/>
        <color rgb="FFFF0000"/>
        <rFont val="Calibri"/>
        <family val="2"/>
        <scheme val="minor"/>
      </rPr>
      <t>=IF(E4="A",G4*$D$18,IF(E4="B",G4*$D$19,IF(E4="C",G4*$D$20,IF(E4="D",G4*$D$21,IF(E4="E",G4*$D$22)))))</t>
    </r>
  </si>
  <si>
    <r>
      <t>សរុប</t>
    </r>
    <r>
      <rPr>
        <sz val="11"/>
        <color rgb="FFFF0000"/>
        <rFont val="Calibri"/>
        <family val="2"/>
        <scheme val="minor"/>
      </rPr>
      <t>=SUM(G4:H4)</t>
    </r>
  </si>
  <si>
    <t>Number of Male</t>
  </si>
  <si>
    <t>Number of Female</t>
  </si>
  <si>
    <t>Upper Age 19</t>
  </si>
  <si>
    <t>Under or Equal age 19</t>
  </si>
  <si>
    <t>Retire Date=IF(D11="MALE",E11+60*365.25,E11+55*365.25)</t>
  </si>
  <si>
    <t>Number of Male=COUNTIF(D11:D35,D11)</t>
  </si>
  <si>
    <t>1. ចូរធ្វើការបូកនូវចំនួនខាងក្រោមដោយប្រើរូបមន្ត​ Sum, Sumif</t>
  </si>
  <si>
    <r>
      <t>N</t>
    </r>
    <r>
      <rPr>
        <vertAlign val="superscript"/>
        <sz val="11"/>
        <color theme="1"/>
        <rFont val="Calibri"/>
        <family val="2"/>
        <scheme val="minor"/>
      </rPr>
      <t>0</t>
    </r>
  </si>
  <si>
    <t xml:space="preserve">Name </t>
  </si>
  <si>
    <t>Monthly</t>
  </si>
  <si>
    <t>Week1</t>
  </si>
  <si>
    <t>Week2</t>
  </si>
  <si>
    <t>Week3</t>
  </si>
  <si>
    <t>Week4</t>
  </si>
  <si>
    <t>Pen</t>
  </si>
  <si>
    <t>Book</t>
  </si>
  <si>
    <t>Pencil</t>
  </si>
  <si>
    <t>Ruler</t>
  </si>
  <si>
    <t>Maker</t>
  </si>
  <si>
    <t>Blackboard</t>
  </si>
  <si>
    <t>Jan</t>
  </si>
  <si>
    <t>Feb</t>
  </si>
  <si>
    <t>Mar</t>
  </si>
  <si>
    <t>Apr</t>
  </si>
  <si>
    <t>May</t>
  </si>
  <si>
    <t>Jun</t>
  </si>
  <si>
    <t>Jul</t>
  </si>
  <si>
    <t>Aug</t>
  </si>
  <si>
    <t>Dec</t>
  </si>
  <si>
    <t>តម្លៃសរុប</t>
  </si>
  <si>
    <t>តម្លៃតូចបំផុត</t>
  </si>
  <si>
    <t>តម្លៃធំបំផុត</t>
  </si>
  <si>
    <t>Note:</t>
  </si>
  <si>
    <t>Exercise12</t>
  </si>
  <si>
    <r>
      <t>N</t>
    </r>
    <r>
      <rPr>
        <vertAlign val="superscript"/>
        <sz val="11"/>
        <color theme="1"/>
        <rFont val="AKbalthom Superhero"/>
      </rPr>
      <t>0</t>
    </r>
  </si>
  <si>
    <r>
      <t xml:space="preserve">Total   </t>
    </r>
    <r>
      <rPr>
        <sz val="11"/>
        <color theme="1"/>
        <rFont val="AKbalthom KhmerNew"/>
      </rPr>
      <t xml:space="preserve"> </t>
    </r>
    <r>
      <rPr>
        <sz val="11"/>
        <color theme="4" tint="-0.249977111117893"/>
        <rFont val="AKbalthom KhmerNew"/>
      </rPr>
      <t>=SUM(D4,E4,F4,G4)</t>
    </r>
    <r>
      <rPr>
        <sz val="11"/>
        <color theme="1"/>
        <rFont val="AKbalthom KhmerNew"/>
      </rPr>
      <t xml:space="preserve">    /   </t>
    </r>
    <r>
      <rPr>
        <sz val="11"/>
        <color theme="4" tint="-0.249977111117893"/>
        <rFont val="AKbalthom KhmerNew"/>
      </rPr>
      <t xml:space="preserve"> =SUM(Week1,Week2,Week3,Week4)</t>
    </r>
  </si>
  <si>
    <t>2.  ដោយប្រើរូបមន្ត Sumif ចូរបូកសរុបចំនួនតាមលក្ខខ័ណ្ឌនៃទំនិញខាងលើ</t>
  </si>
  <si>
    <t xml:space="preserve">Pen </t>
  </si>
  <si>
    <t>Week1    =(All Name,One Name,All Case)</t>
  </si>
  <si>
    <t>លេខរៀង</t>
  </si>
  <si>
    <t>គោត្តនាម-នាម</t>
  </si>
  <si>
    <t>ភេទ</t>
  </si>
  <si>
    <t>ពិន្ទុភាសាខ្មៃរ</t>
  </si>
  <si>
    <t>គណិតវិទ្យា</t>
  </si>
  <si>
    <t>ភូមិ</t>
  </si>
  <si>
    <t>ពលរដ្ឋ</t>
  </si>
  <si>
    <t>ពិន្ទុធំបំផុត</t>
  </si>
  <si>
    <t>ពិន្ទុតូចបំផុត</t>
  </si>
  <si>
    <t>ពិន្ទុសរុប</t>
  </si>
  <si>
    <t>មធ្យមភាគ</t>
  </si>
  <si>
    <t>ចំណាត់ថ្នាក់</t>
  </si>
  <si>
    <t>ជន ធីតា</t>
  </si>
  <si>
    <t>កៅ វណ្ណា</t>
  </si>
  <si>
    <t>ហាក់ សីាហា</t>
  </si>
  <si>
    <t>ជឿន សុភ័ក្ត</t>
  </si>
  <si>
    <t>តាន ជីនជា</t>
  </si>
  <si>
    <t>ប៊ុន សីហា</t>
  </si>
  <si>
    <t>ប៊ុត សំខាន់</t>
  </si>
  <si>
    <t>ពង្សា វត្តី</t>
  </si>
  <si>
    <t>ព្រំ សុវណ្ណា</t>
  </si>
  <si>
    <t>មាន វណ្ណានីរ័ត្ន</t>
  </si>
  <si>
    <t>ស</t>
  </si>
  <si>
    <t>ប</t>
  </si>
  <si>
    <t>1.ចូរបម្លែងពាក្យខាងក្រោមទៅជាពាក្យពេញ ហើយបម្លែងអក្សរពីតូចទៅធំនិងពីធំទៅតូច</t>
  </si>
  <si>
    <t xml:space="preserve">First Word </t>
  </si>
  <si>
    <t>Last Word</t>
  </si>
  <si>
    <t>Full Word</t>
  </si>
  <si>
    <t>Lower Case/Upper Case</t>
  </si>
  <si>
    <t>Microsoft</t>
  </si>
  <si>
    <t>Adobe Ligthroom</t>
  </si>
  <si>
    <t>Tutorial excel</t>
  </si>
  <si>
    <t>Formula</t>
  </si>
  <si>
    <t>Coffee</t>
  </si>
  <si>
    <t xml:space="preserve">Word </t>
  </si>
  <si>
    <t>Excel</t>
  </si>
  <si>
    <t>PowerPoint</t>
  </si>
  <si>
    <t>Publisher</t>
  </si>
  <si>
    <t>Tools</t>
  </si>
  <si>
    <t>Store</t>
  </si>
  <si>
    <t>Photoshop</t>
  </si>
  <si>
    <t>Funtions</t>
  </si>
  <si>
    <t>Tea</t>
  </si>
  <si>
    <t>Formula "=Concat (text1,text2"</t>
  </si>
  <si>
    <t>Formula "=Lower(text1)"/"=Upper(text1"</t>
  </si>
  <si>
    <t>2.បំបែកចំនួនអក្សរនៃពាក្យខាងក្រោម</t>
  </si>
  <si>
    <t>Formula "=Left(text1,num_char)"</t>
  </si>
  <si>
    <t>funtion</t>
  </si>
  <si>
    <t>Monday</t>
  </si>
  <si>
    <t>September</t>
  </si>
  <si>
    <t>Marker</t>
  </si>
  <si>
    <t>Formula"Log=10(num)"</t>
  </si>
  <si>
    <t>Formula"=Power(num,power)"</t>
  </si>
  <si>
    <t>Number</t>
  </si>
  <si>
    <t>Power</t>
  </si>
  <si>
    <t>Exersice13</t>
  </si>
  <si>
    <t>Excersice14</t>
  </si>
  <si>
    <t>Code</t>
  </si>
  <si>
    <t>Items Name</t>
  </si>
  <si>
    <t>Camera Canon 750E</t>
  </si>
  <si>
    <t>VGA card</t>
  </si>
  <si>
    <t>Ram DDR3</t>
  </si>
  <si>
    <t>Monitor 60" inch</t>
  </si>
  <si>
    <t>SSD 1 TB</t>
  </si>
  <si>
    <t>Keyboard RGB</t>
  </si>
  <si>
    <t>Mouse Bluetooth</t>
  </si>
  <si>
    <t>Cooling Fan</t>
  </si>
  <si>
    <t>External Drive 1TB</t>
  </si>
  <si>
    <t>Quantity</t>
  </si>
  <si>
    <t>Meanop Computer &amp; Camera Shop II</t>
  </si>
  <si>
    <t>formula"=vlookup(lookup_value,table array,column index number"</t>
  </si>
  <si>
    <r>
      <t>N</t>
    </r>
    <r>
      <rPr>
        <vertAlign val="superscript"/>
        <sz val="11"/>
        <color theme="1"/>
        <rFont val="AKbalthom KhmerBasic"/>
      </rPr>
      <t>0</t>
    </r>
  </si>
  <si>
    <t>Products</t>
  </si>
  <si>
    <t>Category</t>
  </si>
  <si>
    <t>Price</t>
  </si>
  <si>
    <t>Expire Date</t>
  </si>
  <si>
    <t>Pepsi</t>
  </si>
  <si>
    <t>CocaCola</t>
  </si>
  <si>
    <t>Sprite</t>
  </si>
  <si>
    <t>Boostrong</t>
  </si>
  <si>
    <t>Red Ant</t>
  </si>
  <si>
    <t>Drink</t>
  </si>
  <si>
    <t>Riverside happy store</t>
  </si>
  <si>
    <t>Search</t>
  </si>
  <si>
    <t>ឈ្មោះបុគ្គលិក</t>
  </si>
  <si>
    <t>ថ្ងៃ ខែឆ្មាំកំណើត</t>
  </si>
  <si>
    <t>គិតជាចំនួនថ្ងៃ</t>
  </si>
  <si>
    <t>គិតជាចំនួនខែ</t>
  </si>
  <si>
    <t>គិតជាឆ្មាំ</t>
  </si>
  <si>
    <t>Samean sok</t>
  </si>
  <si>
    <t>Chou Sineang</t>
  </si>
  <si>
    <t>Hel seyha</t>
  </si>
  <si>
    <t>Mok sreyta</t>
  </si>
  <si>
    <t>Phal Phoumon</t>
  </si>
  <si>
    <t>Hak Bopha</t>
  </si>
  <si>
    <t>Hann Lyly</t>
  </si>
  <si>
    <t>Moun Chantha</t>
  </si>
  <si>
    <t>Ben ten</t>
  </si>
  <si>
    <t>Kann Tanhouy</t>
  </si>
  <si>
    <t>Nop Chaina</t>
  </si>
  <si>
    <t>Vang Fyhong</t>
  </si>
  <si>
    <t>DATEDIF(C4,TODAY(),"d")&amp;"ថ្ងៃ"</t>
  </si>
  <si>
    <t>រូបមន្ត</t>
  </si>
  <si>
    <t>ចូរប្តូរកាលបរិច្ឆេតខាងក្រោមទៅជាចំនួន ថ្ងៃ ខែ និងឆ្នាំ</t>
  </si>
  <si>
    <t>Full Name</t>
  </si>
  <si>
    <t>First Name</t>
  </si>
  <si>
    <t>Last Name</t>
  </si>
  <si>
    <t>Samean</t>
  </si>
  <si>
    <t>Chou</t>
  </si>
  <si>
    <t>Sineang</t>
  </si>
  <si>
    <t>Phal</t>
  </si>
  <si>
    <t>Phoumon</t>
  </si>
  <si>
    <t>Hann</t>
  </si>
  <si>
    <t>Lyly</t>
  </si>
  <si>
    <t>sok</t>
  </si>
  <si>
    <t>Hel</t>
  </si>
  <si>
    <t>seyha</t>
  </si>
  <si>
    <t>Mok</t>
  </si>
  <si>
    <t>sreyta</t>
  </si>
  <si>
    <t>Hak</t>
  </si>
  <si>
    <t>Bopha</t>
  </si>
  <si>
    <r>
      <t>How:  S</t>
    </r>
    <r>
      <rPr>
        <sz val="16"/>
        <color theme="8" tint="-0.499984740745262"/>
        <rFont val="Baskerville Old Face"/>
        <family val="1"/>
      </rPr>
      <t>elect (full name) Date (Text to Columns) (Delimeted) (Space)…..</t>
    </r>
  </si>
  <si>
    <t>លរ</t>
  </si>
  <si>
    <t>P</t>
  </si>
  <si>
    <t>L</t>
  </si>
  <si>
    <t>កាន វិមាន</t>
  </si>
  <si>
    <t>តាន់ លី</t>
  </si>
  <si>
    <t>ទៀន សារាយ</t>
  </si>
  <si>
    <t>ធន ប៊ុនថង</t>
  </si>
  <si>
    <t>ធឿន ធារ៉ា</t>
  </si>
  <si>
    <t>ប៊ុត​ សីហា</t>
  </si>
  <si>
    <t>មាន វណ្ណារ័ត្ម</t>
  </si>
  <si>
    <t>យាន សុខុម</t>
  </si>
  <si>
    <t>សិរី ពុទ្ធារី</t>
  </si>
  <si>
    <t>ហង្ស សុធី</t>
  </si>
  <si>
    <t>ហាក់​ លីហ័រ</t>
  </si>
  <si>
    <t>វត្តមាន</t>
  </si>
  <si>
    <t>ច្បាប់</t>
  </si>
  <si>
    <t>អវត្តមាន</t>
  </si>
  <si>
    <t>p</t>
  </si>
  <si>
    <t>l</t>
  </si>
  <si>
    <t>a</t>
  </si>
  <si>
    <t>តារាងបញ្ជីវត្តមានសិស្សឆ្នាំសិក្សា ២០២៤ ២០២៥</t>
  </si>
  <si>
    <t>ឈ្មោះ</t>
  </si>
  <si>
    <t>Review Lesson</t>
  </si>
  <si>
    <t>តារាងចំណូល Hotel A</t>
  </si>
  <si>
    <t>ឈ្មោះអតិថិជន</t>
  </si>
  <si>
    <t>ថ្ងៃចូលស្នាក់</t>
  </si>
  <si>
    <t>LENG CHANTORN</t>
  </si>
  <si>
    <t>BROM LAYYUO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</si>
</sst>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44" formatCode="_(&quot;$&quot;* #,##0.00_);_(&quot;$&quot;* \(#,##0.00\);_(&quot;$&quot;* &quot;-&quot;??_);_(@_)"/>
    <numFmt numFmtId="164" formatCode="&quot;$&quot;#,##0.00"/>
    <numFmt numFmtId="165" formatCode="[$-409]mmmm\ d\,\ yyyy;@"/>
    <numFmt numFmtId="166" formatCode="##&quot;Cases&quot;"/>
    <numFmt numFmtId="167" formatCode="ddd\,\ mmm\ dd\,\ yyyy"/>
    <numFmt numFmtId="168" formatCode="ddd\ mmm\ dd\ yyyy"/>
    <numFmt numFmtId="169" formatCode="##\ \ &quot;Cases&quot;\ "/>
    <numFmt numFmtId="170" formatCode="#00.00\R"/>
    <numFmt numFmtId="171" formatCode="#,#00.00\R"/>
    <numFmt numFmtId="172" formatCode="##\ \ &quot;កេះ&quot;"/>
    <numFmt numFmtId="173" formatCode="0.0%"/>
    <numFmt numFmtId="174" formatCode="#,#00.00&quot;រ&quot;"/>
    <numFmt numFmtId="175" formatCode="dd\-mmm\-yyyy"/>
    <numFmt numFmtId="176" formatCode="0.##00%"/>
    <numFmt numFmtId="177" formatCode="0.##0%"/>
    <numFmt numFmtId="178" formatCode="_(&quot;$&quot;* #,##0.0000_);_(&quot;$&quot;* \(#,##0.0000\);_(&quot;$&quot;* &quot;-&quot;????_);_(@_)"/>
    <numFmt numFmtId="179" formatCode="00#"/>
    <numFmt numFmtId="180" formatCode="0#"/>
    <numFmt numFmtId="181" formatCode="#.#0"/>
    <numFmt numFmtId="182" formatCode="#.#00"/>
    <numFmt numFmtId="183" formatCode="[$-12000425]0"/>
    <numFmt numFmtId="184" formatCode="##0\ &quot;KW&quot;"/>
    <numFmt numFmtId="185" formatCode="##\ &quot;KW&quot;"/>
    <numFmt numFmtId="186" formatCode="\R\ \ #####.00"/>
    <numFmt numFmtId="187" formatCode="&quot;CLS&quot;00#"/>
    <numFmt numFmtId="188" formatCode="dd\-mmm\-yy"/>
    <numFmt numFmtId="189" formatCode="dd\-mmm\-&quot;11&quot;"/>
    <numFmt numFmtId="190" formatCode="&quot;CLS&quot;\ 000#"/>
    <numFmt numFmtId="191" formatCode="##\ &quot;Years&quot;"/>
    <numFmt numFmtId="192" formatCode="_(&quot;$&quot;* #,##0.00_);_(&quot;$&quot;* \(#,##0.00\);_(&quot;$&quot;* &quot;-&quot;_);_(@_)"/>
    <numFmt numFmtId="193" formatCode="mmmm\ d\,yyyy"/>
    <numFmt numFmtId="194" formatCode="&quot;CO&quot;\-00#"/>
    <numFmt numFmtId="195" formatCode="mmm"/>
    <numFmt numFmtId="196" formatCode="0##\ \ \ \ \ &quot;កេះ&quot;"/>
    <numFmt numFmtId="197" formatCode="000\ \ \ \ &quot;កេះ&quot;"/>
    <numFmt numFmtId="198" formatCode="&quot;អត្ថលេខ​​​​&quot;\ \ \ 00#"/>
    <numFmt numFmtId="199" formatCode="00"/>
    <numFmt numFmtId="200" formatCode="0000"/>
    <numFmt numFmtId="201" formatCode="[$-409]d\-mmm\-yyyy;@"/>
    <numFmt numFmtId="202" formatCode="&quot;អត្តលេខ&quot;\ \ \ \ &quot;00&quot;#"/>
  </numFmts>
  <fonts count="70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AKbalthom HighSchool-Frame"/>
    </font>
    <font>
      <sz val="11"/>
      <color theme="1"/>
      <name val="AKbalthom KhmerLe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1"/>
      <color theme="1"/>
      <name val="AKbalthom Korea"/>
    </font>
    <font>
      <b/>
      <sz val="16"/>
      <color theme="1"/>
      <name val="AKbalthom HighSchool"/>
    </font>
    <font>
      <sz val="11"/>
      <color theme="1"/>
      <name val="AKbalthom Freehand"/>
    </font>
    <font>
      <b/>
      <sz val="11"/>
      <color theme="1"/>
      <name val="AKbalthom HighSchool-Fun"/>
    </font>
    <font>
      <sz val="11"/>
      <color theme="1"/>
      <name val="AKbalthom SuperheroKH"/>
    </font>
    <font>
      <b/>
      <u val="double"/>
      <sz val="11"/>
      <color theme="1"/>
      <name val="AKbalthom SuperheroKH"/>
    </font>
    <font>
      <vertAlign val="superscript"/>
      <sz val="11"/>
      <color theme="1"/>
      <name val="AKbalthom Korea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8"/>
      <color theme="1"/>
      <name val="AKbalthom Freehand"/>
    </font>
    <font>
      <b/>
      <u val="double"/>
      <sz val="18"/>
      <color theme="7" tint="-0.499984740745262"/>
      <name val="AKbalthom HighSchool"/>
    </font>
    <font>
      <sz val="11"/>
      <color theme="1" tint="4.9989318521683403E-2"/>
      <name val="AKbalthom TNRB"/>
    </font>
    <font>
      <vertAlign val="superscript"/>
      <sz val="11"/>
      <color theme="1" tint="4.9989318521683403E-2"/>
      <name val="AKbalthom TNRB"/>
    </font>
    <font>
      <sz val="11"/>
      <name val="AKbalthom Korea"/>
    </font>
    <font>
      <sz val="11"/>
      <color rgb="FFFF0000"/>
      <name val="AKbalthom Korea"/>
    </font>
    <font>
      <sz val="11"/>
      <color theme="4"/>
      <name val="AKbalthom Korea"/>
    </font>
    <font>
      <sz val="16"/>
      <color theme="1"/>
      <name val="Agency FB"/>
      <family val="2"/>
    </font>
    <font>
      <b/>
      <u val="double"/>
      <sz val="16"/>
      <color theme="1"/>
      <name val="Agency FB"/>
      <family val="2"/>
    </font>
    <font>
      <sz val="12"/>
      <color theme="1"/>
      <name val="AKbalthom Korea"/>
    </font>
    <font>
      <sz val="11"/>
      <color theme="1"/>
      <name val="AKbalthom KhmerBasic"/>
    </font>
    <font>
      <sz val="11"/>
      <color theme="1"/>
      <name val="Algerian"/>
      <family val="5"/>
    </font>
    <font>
      <vertAlign val="superscript"/>
      <sz val="11"/>
      <color theme="1"/>
      <name val="Algerian"/>
      <family val="5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1"/>
      <name val="Bookman Old Style"/>
      <family val="1"/>
    </font>
    <font>
      <i/>
      <sz val="11"/>
      <color theme="1"/>
      <name val="Bookman Old Style"/>
      <family val="1"/>
    </font>
    <font>
      <sz val="11"/>
      <color theme="5" tint="-0.249977111117893"/>
      <name val="Bookman Old Style"/>
      <family val="1"/>
    </font>
    <font>
      <u val="double"/>
      <sz val="14"/>
      <color theme="1"/>
      <name val="AKbalthom HighSchool-Frame"/>
    </font>
    <font>
      <sz val="11"/>
      <color rgb="FFFF0000"/>
      <name val="Calibri"/>
      <family val="2"/>
      <scheme val="minor"/>
    </font>
    <font>
      <sz val="11"/>
      <color theme="1"/>
      <name val="AKbalthom TNRB"/>
    </font>
    <font>
      <vertAlign val="superscript"/>
      <sz val="12"/>
      <color theme="1"/>
      <name val="AKbalthom KhmerBasic"/>
    </font>
    <font>
      <vertAlign val="superscript"/>
      <sz val="11"/>
      <color theme="1"/>
      <name val="Calibri"/>
      <family val="2"/>
      <scheme val="minor"/>
    </font>
    <font>
      <sz val="11"/>
      <color theme="1"/>
      <name val="AKbalthom Kbach"/>
    </font>
    <font>
      <sz val="11"/>
      <color theme="1"/>
      <name val="AKbalthom Superhero"/>
    </font>
    <font>
      <vertAlign val="superscript"/>
      <sz val="11"/>
      <color theme="1"/>
      <name val="AKbalthom Superhero"/>
    </font>
    <font>
      <b/>
      <u/>
      <sz val="16"/>
      <color theme="1"/>
      <name val="Agency FB"/>
      <family val="2"/>
    </font>
    <font>
      <sz val="11"/>
      <color theme="1"/>
      <name val="AKbalthom KhmerNew"/>
    </font>
    <font>
      <sz val="11"/>
      <color theme="4" tint="-0.249977111117893"/>
      <name val="AKbalthom KhmerNew"/>
    </font>
    <font>
      <sz val="20"/>
      <color theme="1"/>
      <name val="Copperplate Gothic Light"/>
      <family val="2"/>
    </font>
    <font>
      <b/>
      <i/>
      <u/>
      <sz val="20"/>
      <color rgb="FFFF0000"/>
      <name val="Copperplate Gothic Light"/>
      <family val="2"/>
    </font>
    <font>
      <sz val="11"/>
      <color theme="1"/>
      <name val="DH Rongdomrey"/>
    </font>
    <font>
      <b/>
      <i/>
      <u/>
      <sz val="14"/>
      <color rgb="FF002060"/>
      <name val="Agency FB"/>
      <family val="2"/>
    </font>
    <font>
      <sz val="18"/>
      <color theme="1"/>
      <name val="Bodoni MT Condensed"/>
      <family val="1"/>
    </font>
    <font>
      <vertAlign val="superscript"/>
      <sz val="11"/>
      <color theme="1"/>
      <name val="AKbalthom KhmerBasic"/>
    </font>
    <font>
      <sz val="11"/>
      <color theme="5" tint="-0.499984740745262"/>
      <name val="AKbalthom KhmerBasic"/>
    </font>
    <font>
      <sz val="14"/>
      <color theme="1"/>
      <name val="Agency FB"/>
      <family val="2"/>
    </font>
    <font>
      <sz val="11"/>
      <color theme="1"/>
      <name val="AKbalthom KhmerLight"/>
    </font>
    <font>
      <sz val="14"/>
      <color theme="1"/>
      <name val="Khmer Pen SvR"/>
    </font>
    <font>
      <sz val="11"/>
      <color theme="1"/>
      <name val="time "/>
    </font>
    <font>
      <sz val="11"/>
      <color theme="1"/>
      <name val="Kh Battambang"/>
    </font>
    <font>
      <sz val="12"/>
      <color theme="1"/>
      <name val="Kh Battambang"/>
    </font>
    <font>
      <sz val="12"/>
      <color theme="1"/>
      <name val="Calibri"/>
      <family val="2"/>
      <scheme val="minor"/>
    </font>
    <font>
      <sz val="14"/>
      <color theme="1"/>
      <name val="AKbalthom Kbach"/>
    </font>
    <font>
      <sz val="16"/>
      <color theme="1"/>
      <name val="Baskerville Old Face"/>
      <family val="1"/>
    </font>
    <font>
      <sz val="16"/>
      <color theme="8" tint="-0.499984740745262"/>
      <name val="Baskerville Old Face"/>
      <family val="1"/>
    </font>
    <font>
      <sz val="11"/>
      <color theme="1"/>
      <name val="Bernard MT Condensed"/>
      <family val="1"/>
    </font>
    <font>
      <sz val="14"/>
      <color theme="1"/>
      <name val="AKbalthom KhmerHand"/>
    </font>
    <font>
      <sz val="11"/>
      <color theme="1"/>
      <name val="Hanuman"/>
      <family val="1"/>
    </font>
    <font>
      <sz val="24"/>
      <color theme="1"/>
      <name val="Hanuman"/>
      <family val="1"/>
    </font>
  </fonts>
  <fills count="1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5">
    <xf numFmtId="0" fontId="0" fillId="0" borderId="0"/>
    <xf numFmtId="44" fontId="4" fillId="0" borderId="0" applyFont="0" applyFill="0" applyBorder="0" applyAlignment="0" applyProtection="0"/>
    <xf numFmtId="0" fontId="4" fillId="10" borderId="0" applyNumberFormat="0" applyBorder="0" applyAlignment="0" applyProtection="0"/>
    <xf numFmtId="9" fontId="4" fillId="0" borderId="0" applyFont="0" applyFill="0" applyBorder="0" applyAlignment="0" applyProtection="0"/>
    <xf numFmtId="0" fontId="4" fillId="11" borderId="0" applyNumberFormat="0" applyBorder="0" applyAlignment="0" applyProtection="0"/>
  </cellStyleXfs>
  <cellXfs count="3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2" borderId="1" xfId="0" applyFont="1" applyFill="1" applyBorder="1"/>
    <xf numFmtId="0" fontId="2" fillId="2" borderId="1" xfId="0" applyFont="1" applyFill="1" applyBorder="1"/>
    <xf numFmtId="164" fontId="0" fillId="0" borderId="0" xfId="0" applyNumberFormat="1"/>
    <xf numFmtId="44" fontId="0" fillId="0" borderId="0" xfId="0" applyNumberFormat="1"/>
    <xf numFmtId="44" fontId="0" fillId="3" borderId="1" xfId="0" applyNumberFormat="1" applyFill="1" applyBorder="1" applyAlignment="1">
      <alignment horizontal="center"/>
    </xf>
    <xf numFmtId="44" fontId="1" fillId="3" borderId="1" xfId="0" applyNumberFormat="1" applyFont="1" applyFill="1" applyBorder="1" applyAlignment="1">
      <alignment horizontal="center"/>
    </xf>
    <xf numFmtId="44" fontId="1" fillId="0" borderId="1" xfId="0" applyNumberFormat="1" applyFont="1" applyBorder="1"/>
    <xf numFmtId="44" fontId="1" fillId="0" borderId="0" xfId="0" applyNumberFormat="1" applyFont="1"/>
    <xf numFmtId="44" fontId="1" fillId="0" borderId="1" xfId="0" applyNumberFormat="1" applyFont="1" applyBorder="1" applyAlignment="1">
      <alignment horizontal="left"/>
    </xf>
    <xf numFmtId="44" fontId="2" fillId="0" borderId="1" xfId="0" applyNumberFormat="1" applyFont="1" applyBorder="1"/>
    <xf numFmtId="0" fontId="1" fillId="0" borderId="1" xfId="0" applyFont="1" applyBorder="1" applyAlignment="1">
      <alignment horizontal="center"/>
    </xf>
    <xf numFmtId="167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169" fontId="1" fillId="0" borderId="1" xfId="0" applyNumberFormat="1" applyFont="1" applyBorder="1"/>
    <xf numFmtId="168" fontId="1" fillId="0" borderId="1" xfId="0" applyNumberFormat="1" applyFont="1" applyBorder="1"/>
    <xf numFmtId="0" fontId="1" fillId="0" borderId="1" xfId="0" applyFont="1" applyFill="1" applyBorder="1"/>
    <xf numFmtId="170" fontId="0" fillId="0" borderId="0" xfId="0" applyNumberFormat="1"/>
    <xf numFmtId="170" fontId="1" fillId="0" borderId="1" xfId="0" applyNumberFormat="1" applyFont="1" applyBorder="1" applyAlignment="1">
      <alignment horizontal="right"/>
    </xf>
    <xf numFmtId="171" fontId="0" fillId="0" borderId="1" xfId="0" applyNumberFormat="1" applyBorder="1"/>
    <xf numFmtId="44" fontId="1" fillId="0" borderId="1" xfId="1" applyFont="1" applyBorder="1"/>
    <xf numFmtId="0" fontId="0" fillId="0" borderId="1" xfId="0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72" fontId="0" fillId="0" borderId="1" xfId="0" applyNumberFormat="1" applyBorder="1" applyAlignment="1">
      <alignment horizontal="right"/>
    </xf>
    <xf numFmtId="173" fontId="0" fillId="0" borderId="1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174" fontId="6" fillId="0" borderId="1" xfId="0" applyNumberFormat="1" applyFont="1" applyBorder="1" applyAlignment="1">
      <alignment horizontal="right"/>
    </xf>
    <xf numFmtId="174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173" fontId="0" fillId="0" borderId="1" xfId="0" applyNumberFormat="1" applyBorder="1" applyAlignment="1">
      <alignment horizontal="center"/>
    </xf>
    <xf numFmtId="0" fontId="7" fillId="0" borderId="0" xfId="0" applyFont="1" applyAlignment="1">
      <alignment horizontal="center"/>
    </xf>
    <xf numFmtId="44" fontId="1" fillId="0" borderId="1" xfId="1" applyFont="1" applyBorder="1" applyAlignment="1">
      <alignment horizontal="center"/>
    </xf>
    <xf numFmtId="175" fontId="1" fillId="0" borderId="1" xfId="0" applyNumberFormat="1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 applyAlignment="1">
      <alignment horizontal="left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44" fontId="10" fillId="0" borderId="1" xfId="1" applyFont="1" applyBorder="1"/>
    <xf numFmtId="176" fontId="10" fillId="0" borderId="1" xfId="0" applyNumberFormat="1" applyFont="1" applyBorder="1"/>
    <xf numFmtId="44" fontId="10" fillId="0" borderId="1" xfId="0" applyNumberFormat="1" applyFont="1" applyBorder="1"/>
    <xf numFmtId="178" fontId="10" fillId="0" borderId="1" xfId="0" applyNumberFormat="1" applyFont="1" applyBorder="1"/>
    <xf numFmtId="177" fontId="10" fillId="0" borderId="1" xfId="0" applyNumberFormat="1" applyFont="1" applyBorder="1"/>
    <xf numFmtId="0" fontId="5" fillId="0" borderId="1" xfId="0" applyFont="1" applyBorder="1"/>
    <xf numFmtId="0" fontId="10" fillId="5" borderId="1" xfId="0" applyFont="1" applyFill="1" applyBorder="1"/>
    <xf numFmtId="0" fontId="10" fillId="5" borderId="1" xfId="0" applyFont="1" applyFill="1" applyBorder="1" applyAlignment="1">
      <alignment horizontal="center"/>
    </xf>
    <xf numFmtId="0" fontId="10" fillId="0" borderId="0" xfId="0" applyFont="1"/>
    <xf numFmtId="0" fontId="13" fillId="0" borderId="0" xfId="0" applyFont="1"/>
    <xf numFmtId="0" fontId="10" fillId="3" borderId="1" xfId="0" applyFont="1" applyFill="1" applyBorder="1" applyAlignment="1">
      <alignment horizontal="center"/>
    </xf>
    <xf numFmtId="0" fontId="0" fillId="0" borderId="0" xfId="0" applyNumberFormat="1" applyBorder="1"/>
    <xf numFmtId="0" fontId="0" fillId="0" borderId="0" xfId="0" applyBorder="1"/>
    <xf numFmtId="44" fontId="10" fillId="0" borderId="1" xfId="1" applyFont="1" applyBorder="1" applyAlignment="1"/>
    <xf numFmtId="179" fontId="10" fillId="0" borderId="1" xfId="0" applyNumberFormat="1" applyFont="1" applyBorder="1" applyAlignment="1">
      <alignment horizontal="center"/>
    </xf>
    <xf numFmtId="4" fontId="0" fillId="0" borderId="0" xfId="0" applyNumberFormat="1"/>
    <xf numFmtId="0" fontId="14" fillId="0" borderId="0" xfId="0" applyFont="1" applyBorder="1"/>
    <xf numFmtId="0" fontId="14" fillId="0" borderId="0" xfId="0" applyFont="1"/>
    <xf numFmtId="0" fontId="10" fillId="6" borderId="1" xfId="0" applyFont="1" applyFill="1" applyBorder="1"/>
    <xf numFmtId="180" fontId="10" fillId="0" borderId="1" xfId="0" applyNumberFormat="1" applyFont="1" applyBorder="1"/>
    <xf numFmtId="181" fontId="10" fillId="0" borderId="1" xfId="0" applyNumberFormat="1" applyFont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182" fontId="10" fillId="0" borderId="1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Border="1" applyAlignment="1">
      <alignment vertical="center"/>
    </xf>
    <xf numFmtId="179" fontId="24" fillId="0" borderId="1" xfId="0" applyNumberFormat="1" applyFont="1" applyBorder="1" applyAlignment="1">
      <alignment horizontal="center"/>
    </xf>
    <xf numFmtId="0" fontId="24" fillId="0" borderId="1" xfId="0" applyFont="1" applyBorder="1"/>
    <xf numFmtId="184" fontId="24" fillId="0" borderId="1" xfId="0" applyNumberFormat="1" applyFont="1" applyBorder="1"/>
    <xf numFmtId="185" fontId="24" fillId="0" borderId="1" xfId="0" applyNumberFormat="1" applyFont="1" applyBorder="1"/>
    <xf numFmtId="186" fontId="24" fillId="8" borderId="1" xfId="0" applyNumberFormat="1" applyFont="1" applyFill="1" applyBorder="1" applyAlignment="1">
      <alignment horizontal="left"/>
    </xf>
    <xf numFmtId="0" fontId="22" fillId="6" borderId="8" xfId="0" applyFont="1" applyFill="1" applyBorder="1" applyAlignment="1">
      <alignment horizontal="center" vertical="top"/>
    </xf>
    <xf numFmtId="0" fontId="10" fillId="9" borderId="1" xfId="0" applyFont="1" applyFill="1" applyBorder="1"/>
    <xf numFmtId="0" fontId="0" fillId="0" borderId="0" xfId="0" applyAlignment="1">
      <alignment horizontal="left"/>
    </xf>
    <xf numFmtId="0" fontId="27" fillId="0" borderId="0" xfId="0" applyFont="1" applyAlignment="1">
      <alignment vertical="center"/>
    </xf>
    <xf numFmtId="187" fontId="30" fillId="0" borderId="1" xfId="0" applyNumberFormat="1" applyFont="1" applyBorder="1" applyAlignment="1">
      <alignment horizontal="right"/>
    </xf>
    <xf numFmtId="0" fontId="30" fillId="0" borderId="1" xfId="0" applyFont="1" applyBorder="1"/>
    <xf numFmtId="1" fontId="30" fillId="0" borderId="1" xfId="0" applyNumberFormat="1" applyFont="1" applyBorder="1"/>
    <xf numFmtId="44" fontId="30" fillId="0" borderId="1" xfId="1" applyFont="1" applyBorder="1"/>
    <xf numFmtId="44" fontId="30" fillId="0" borderId="1" xfId="0" applyNumberFormat="1" applyFont="1" applyBorder="1"/>
    <xf numFmtId="0" fontId="31" fillId="9" borderId="5" xfId="0" applyFont="1" applyFill="1" applyBorder="1" applyAlignment="1">
      <alignment horizontal="center" vertical="center"/>
    </xf>
    <xf numFmtId="0" fontId="31" fillId="9" borderId="6" xfId="0" applyFont="1" applyFill="1" applyBorder="1" applyAlignment="1">
      <alignment horizontal="center" vertical="center"/>
    </xf>
    <xf numFmtId="0" fontId="35" fillId="0" borderId="0" xfId="0" applyFont="1"/>
    <xf numFmtId="0" fontId="35" fillId="0" borderId="11" xfId="0" applyFont="1" applyBorder="1"/>
    <xf numFmtId="0" fontId="35" fillId="0" borderId="0" xfId="0" applyFont="1" applyBorder="1"/>
    <xf numFmtId="0" fontId="35" fillId="0" borderId="6" xfId="0" applyFont="1" applyBorder="1"/>
    <xf numFmtId="0" fontId="35" fillId="0" borderId="1" xfId="0" applyFont="1" applyBorder="1"/>
    <xf numFmtId="0" fontId="35" fillId="0" borderId="8" xfId="0" applyFont="1" applyBorder="1"/>
    <xf numFmtId="14" fontId="35" fillId="0" borderId="1" xfId="0" applyNumberFormat="1" applyFont="1" applyBorder="1"/>
    <xf numFmtId="11" fontId="35" fillId="0" borderId="1" xfId="0" applyNumberFormat="1" applyFont="1" applyBorder="1"/>
    <xf numFmtId="44" fontId="37" fillId="0" borderId="0" xfId="0" applyNumberFormat="1" applyFont="1" applyAlignment="1">
      <alignment horizontal="left"/>
    </xf>
    <xf numFmtId="0" fontId="6" fillId="9" borderId="1" xfId="0" applyFont="1" applyFill="1" applyBorder="1" applyAlignment="1">
      <alignment horizontal="center"/>
    </xf>
    <xf numFmtId="0" fontId="0" fillId="0" borderId="3" xfId="0" applyBorder="1"/>
    <xf numFmtId="0" fontId="0" fillId="0" borderId="14" xfId="0" applyBorder="1"/>
    <xf numFmtId="0" fontId="10" fillId="0" borderId="1" xfId="0" applyFont="1" applyBorder="1" applyAlignment="1">
      <alignment horizontal="left"/>
    </xf>
    <xf numFmtId="188" fontId="10" fillId="0" borderId="1" xfId="0" applyNumberFormat="1" applyFont="1" applyBorder="1" applyAlignment="1">
      <alignment horizontal="center"/>
    </xf>
    <xf numFmtId="189" fontId="10" fillId="0" borderId="1" xfId="0" applyNumberFormat="1" applyFont="1" applyBorder="1" applyAlignment="1">
      <alignment horizontal="center"/>
    </xf>
    <xf numFmtId="192" fontId="10" fillId="0" borderId="1" xfId="1" applyNumberFormat="1" applyFont="1" applyBorder="1"/>
    <xf numFmtId="9" fontId="10" fillId="0" borderId="1" xfId="3" applyNumberFormat="1" applyFont="1" applyBorder="1"/>
    <xf numFmtId="0" fontId="40" fillId="10" borderId="1" xfId="2" applyFont="1" applyBorder="1" applyAlignment="1">
      <alignment horizontal="center"/>
    </xf>
    <xf numFmtId="190" fontId="30" fillId="0" borderId="1" xfId="0" applyNumberFormat="1" applyFont="1" applyBorder="1"/>
    <xf numFmtId="0" fontId="41" fillId="0" borderId="1" xfId="0" applyFont="1" applyBorder="1"/>
    <xf numFmtId="188" fontId="30" fillId="0" borderId="1" xfId="0" applyNumberFormat="1" applyFont="1" applyBorder="1" applyAlignment="1">
      <alignment horizontal="center"/>
    </xf>
    <xf numFmtId="191" fontId="30" fillId="0" borderId="1" xfId="0" applyNumberFormat="1" applyFont="1" applyBorder="1"/>
    <xf numFmtId="193" fontId="30" fillId="0" borderId="5" xfId="0" applyNumberFormat="1" applyFont="1" applyBorder="1"/>
    <xf numFmtId="194" fontId="0" fillId="0" borderId="1" xfId="0" applyNumberFormat="1" applyBorder="1"/>
    <xf numFmtId="196" fontId="0" fillId="0" borderId="1" xfId="0" applyNumberFormat="1" applyBorder="1"/>
    <xf numFmtId="0" fontId="44" fillId="11" borderId="1" xfId="4" applyFont="1" applyBorder="1" applyAlignment="1">
      <alignment horizontal="center"/>
    </xf>
    <xf numFmtId="194" fontId="6" fillId="0" borderId="1" xfId="0" applyNumberFormat="1" applyFont="1" applyBorder="1"/>
    <xf numFmtId="0" fontId="6" fillId="0" borderId="1" xfId="0" applyFont="1" applyBorder="1"/>
    <xf numFmtId="195" fontId="6" fillId="0" borderId="1" xfId="0" applyNumberFormat="1" applyFont="1" applyBorder="1"/>
    <xf numFmtId="196" fontId="6" fillId="0" borderId="1" xfId="0" applyNumberFormat="1" applyFont="1" applyBorder="1"/>
    <xf numFmtId="197" fontId="6" fillId="0" borderId="1" xfId="0" applyNumberFormat="1" applyFont="1" applyBorder="1"/>
    <xf numFmtId="196" fontId="0" fillId="0" borderId="0" xfId="0" applyNumberFormat="1"/>
    <xf numFmtId="44" fontId="0" fillId="0" borderId="1" xfId="0" applyNumberFormat="1" applyBorder="1"/>
    <xf numFmtId="0" fontId="1" fillId="4" borderId="1" xfId="0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165" fontId="1" fillId="0" borderId="1" xfId="0" applyNumberFormat="1" applyFont="1" applyBorder="1"/>
    <xf numFmtId="44" fontId="1" fillId="0" borderId="1" xfId="0" applyNumberFormat="1" applyFont="1" applyBorder="1" applyAlignment="1">
      <alignment horizontal="right"/>
    </xf>
    <xf numFmtId="166" fontId="1" fillId="0" borderId="1" xfId="0" applyNumberFormat="1" applyFont="1" applyBorder="1"/>
    <xf numFmtId="44" fontId="0" fillId="0" borderId="0" xfId="0" applyNumberFormat="1" applyBorder="1"/>
    <xf numFmtId="197" fontId="0" fillId="0" borderId="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Fill="1" applyBorder="1"/>
    <xf numFmtId="0" fontId="0" fillId="0" borderId="0" xfId="0" applyAlignment="1">
      <alignment horizontal="center"/>
    </xf>
    <xf numFmtId="0" fontId="12" fillId="9" borderId="1" xfId="0" applyFont="1" applyFill="1" applyBorder="1"/>
    <xf numFmtId="198" fontId="30" fillId="0" borderId="1" xfId="0" applyNumberFormat="1" applyFont="1" applyBorder="1"/>
    <xf numFmtId="0" fontId="30" fillId="0" borderId="1" xfId="0" applyFont="1" applyBorder="1" applyAlignment="1"/>
    <xf numFmtId="0" fontId="30" fillId="0" borderId="1" xfId="0" applyNumberFormat="1" applyFont="1" applyBorder="1" applyAlignment="1"/>
    <xf numFmtId="0" fontId="30" fillId="4" borderId="1" xfId="0" applyFont="1" applyFill="1" applyBorder="1" applyAlignment="1"/>
    <xf numFmtId="0" fontId="51" fillId="0" borderId="1" xfId="0" applyFont="1" applyBorder="1" applyAlignment="1">
      <alignment horizontal="center"/>
    </xf>
    <xf numFmtId="0" fontId="51" fillId="0" borderId="1" xfId="0" applyFont="1" applyBorder="1"/>
    <xf numFmtId="0" fontId="51" fillId="0" borderId="7" xfId="0" applyFont="1" applyBorder="1"/>
    <xf numFmtId="0" fontId="51" fillId="0" borderId="5" xfId="0" applyFont="1" applyBorder="1"/>
    <xf numFmtId="199" fontId="51" fillId="0" borderId="1" xfId="0" applyNumberFormat="1" applyFont="1" applyBorder="1" applyAlignment="1">
      <alignment horizontal="center"/>
    </xf>
    <xf numFmtId="0" fontId="51" fillId="0" borderId="7" xfId="0" applyFont="1" applyBorder="1" applyAlignment="1">
      <alignment horizontal="center"/>
    </xf>
    <xf numFmtId="0" fontId="0" fillId="3" borderId="10" xfId="0" applyFill="1" applyBorder="1"/>
    <xf numFmtId="0" fontId="0" fillId="3" borderId="0" xfId="0" applyFill="1"/>
    <xf numFmtId="0" fontId="51" fillId="0" borderId="10" xfId="0" applyFont="1" applyBorder="1" applyAlignment="1">
      <alignment horizontal="center"/>
    </xf>
    <xf numFmtId="0" fontId="51" fillId="0" borderId="8" xfId="0" applyFont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51" fillId="0" borderId="6" xfId="0" applyFont="1" applyBorder="1"/>
    <xf numFmtId="0" fontId="30" fillId="4" borderId="1" xfId="0" applyFont="1" applyFill="1" applyBorder="1"/>
    <xf numFmtId="0" fontId="30" fillId="4" borderId="1" xfId="0" applyFont="1" applyFill="1" applyBorder="1" applyAlignment="1">
      <alignment horizontal="center"/>
    </xf>
    <xf numFmtId="0" fontId="30" fillId="0" borderId="0" xfId="0" applyFont="1"/>
    <xf numFmtId="200" fontId="30" fillId="0" borderId="1" xfId="0" applyNumberFormat="1" applyFont="1" applyBorder="1" applyAlignment="1">
      <alignment horizontal="center"/>
    </xf>
    <xf numFmtId="0" fontId="30" fillId="0" borderId="0" xfId="0" applyFont="1" applyAlignment="1">
      <alignment horizontal="center"/>
    </xf>
    <xf numFmtId="0" fontId="30" fillId="13" borderId="1" xfId="0" applyFont="1" applyFill="1" applyBorder="1"/>
    <xf numFmtId="200" fontId="30" fillId="0" borderId="1" xfId="0" applyNumberFormat="1" applyFont="1" applyBorder="1"/>
    <xf numFmtId="0" fontId="30" fillId="2" borderId="1" xfId="0" applyFont="1" applyFill="1" applyBorder="1"/>
    <xf numFmtId="44" fontId="30" fillId="2" borderId="1" xfId="1" applyFont="1" applyFill="1" applyBorder="1"/>
    <xf numFmtId="44" fontId="30" fillId="2" borderId="1" xfId="0" applyNumberFormat="1" applyFont="1" applyFill="1" applyBorder="1"/>
    <xf numFmtId="200" fontId="30" fillId="0" borderId="0" xfId="0" applyNumberFormat="1" applyFont="1" applyAlignment="1">
      <alignment horizontal="center"/>
    </xf>
    <xf numFmtId="0" fontId="57" fillId="0" borderId="0" xfId="0" applyFont="1" applyBorder="1"/>
    <xf numFmtId="0" fontId="57" fillId="0" borderId="3" xfId="0" applyFont="1" applyBorder="1"/>
    <xf numFmtId="0" fontId="30" fillId="0" borderId="13" xfId="0" applyFont="1" applyBorder="1" applyAlignment="1"/>
    <xf numFmtId="0" fontId="30" fillId="0" borderId="3" xfId="0" applyFont="1" applyBorder="1" applyAlignment="1"/>
    <xf numFmtId="0" fontId="30" fillId="14" borderId="0" xfId="0" applyFont="1" applyFill="1" applyAlignment="1">
      <alignment horizontal="center"/>
    </xf>
    <xf numFmtId="0" fontId="30" fillId="15" borderId="0" xfId="0" applyFont="1" applyFill="1" applyAlignment="1">
      <alignment horizontal="center"/>
    </xf>
    <xf numFmtId="44" fontId="30" fillId="0" borderId="0" xfId="1" applyFont="1" applyAlignment="1">
      <alignment horizontal="center"/>
    </xf>
    <xf numFmtId="169" fontId="30" fillId="0" borderId="0" xfId="0" applyNumberFormat="1" applyFont="1" applyAlignment="1">
      <alignment horizontal="center"/>
    </xf>
    <xf numFmtId="175" fontId="30" fillId="0" borderId="0" xfId="0" applyNumberFormat="1" applyFont="1" applyAlignment="1">
      <alignment horizontal="center"/>
    </xf>
    <xf numFmtId="0" fontId="30" fillId="14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2" fontId="59" fillId="0" borderId="0" xfId="0" applyNumberFormat="1" applyFont="1"/>
    <xf numFmtId="0" fontId="60" fillId="0" borderId="0" xfId="0" applyFont="1"/>
    <xf numFmtId="201" fontId="0" fillId="0" borderId="0" xfId="0" applyNumberFormat="1"/>
    <xf numFmtId="183" fontId="61" fillId="0" borderId="1" xfId="0" applyNumberFormat="1" applyFont="1" applyBorder="1" applyAlignment="1">
      <alignment horizontal="center"/>
    </xf>
    <xf numFmtId="0" fontId="7" fillId="0" borderId="1" xfId="0" applyFont="1" applyBorder="1"/>
    <xf numFmtId="201" fontId="62" fillId="0" borderId="1" xfId="0" applyNumberFormat="1" applyFont="1" applyBorder="1" applyAlignment="1">
      <alignment horizontal="center"/>
    </xf>
    <xf numFmtId="0" fontId="61" fillId="7" borderId="1" xfId="0" applyFont="1" applyFill="1" applyBorder="1" applyAlignment="1">
      <alignment horizontal="center"/>
    </xf>
    <xf numFmtId="14" fontId="61" fillId="2" borderId="1" xfId="0" applyNumberFormat="1" applyFont="1" applyFill="1" applyBorder="1" applyAlignment="1">
      <alignment horizontal="center"/>
    </xf>
    <xf numFmtId="0" fontId="61" fillId="17" borderId="1" xfId="0" applyFont="1" applyFill="1" applyBorder="1" applyAlignment="1">
      <alignment horizontal="center"/>
    </xf>
    <xf numFmtId="0" fontId="61" fillId="9" borderId="1" xfId="0" applyFont="1" applyFill="1" applyBorder="1" applyAlignment="1">
      <alignment horizontal="center"/>
    </xf>
    <xf numFmtId="0" fontId="0" fillId="0" borderId="16" xfId="0" applyBorder="1"/>
    <xf numFmtId="202" fontId="0" fillId="0" borderId="16" xfId="0" applyNumberFormat="1" applyBorder="1"/>
    <xf numFmtId="0" fontId="0" fillId="7" borderId="16" xfId="0" applyFill="1" applyBorder="1"/>
    <xf numFmtId="0" fontId="0" fillId="0" borderId="1" xfId="0" applyBorder="1" applyAlignment="1">
      <alignment horizontal="center"/>
    </xf>
    <xf numFmtId="0" fontId="66" fillId="0" borderId="1" xfId="0" applyFont="1" applyFill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43" fillId="13" borderId="1" xfId="0" applyFont="1" applyFill="1" applyBorder="1" applyAlignment="1">
      <alignment horizontal="center"/>
    </xf>
    <xf numFmtId="0" fontId="43" fillId="8" borderId="1" xfId="0" applyFont="1" applyFill="1" applyBorder="1" applyAlignment="1">
      <alignment horizontal="center"/>
    </xf>
    <xf numFmtId="0" fontId="43" fillId="2" borderId="1" xfId="0" applyFont="1" applyFill="1" applyBorder="1" applyAlignment="1">
      <alignment horizontal="center"/>
    </xf>
    <xf numFmtId="183" fontId="43" fillId="0" borderId="1" xfId="0" applyNumberFormat="1" applyFont="1" applyBorder="1" applyAlignment="1">
      <alignment horizontal="center"/>
    </xf>
    <xf numFmtId="0" fontId="43" fillId="17" borderId="1" xfId="0" applyFont="1" applyFill="1" applyBorder="1" applyAlignment="1">
      <alignment horizontal="center"/>
    </xf>
    <xf numFmtId="183" fontId="43" fillId="17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0" xfId="0" applyFont="1" applyAlignment="1"/>
    <xf numFmtId="0" fontId="12" fillId="0" borderId="3" xfId="0" applyFont="1" applyBorder="1" applyAlignment="1"/>
    <xf numFmtId="0" fontId="11" fillId="0" borderId="0" xfId="0" applyFont="1" applyAlignment="1">
      <alignment horizontal="center"/>
    </xf>
    <xf numFmtId="0" fontId="12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5" fillId="0" borderId="4" xfId="0" applyFont="1" applyBorder="1"/>
    <xf numFmtId="0" fontId="5" fillId="0" borderId="2" xfId="0" applyFont="1" applyBorder="1"/>
    <xf numFmtId="0" fontId="13" fillId="0" borderId="2" xfId="0" applyFont="1" applyBorder="1"/>
    <xf numFmtId="18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6" borderId="5" xfId="0" applyFont="1" applyFill="1" applyBorder="1" applyAlignment="1">
      <alignment horizontal="center" vertical="top"/>
    </xf>
    <xf numFmtId="0" fontId="10" fillId="6" borderId="6" xfId="0" applyFont="1" applyFill="1" applyBorder="1" applyAlignment="1">
      <alignment horizontal="center" vertical="top"/>
    </xf>
    <xf numFmtId="0" fontId="19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10" fillId="9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35" fillId="0" borderId="5" xfId="0" applyFont="1" applyBorder="1" applyAlignment="1">
      <alignment horizontal="right"/>
    </xf>
    <xf numFmtId="0" fontId="35" fillId="0" borderId="6" xfId="0" applyFont="1" applyBorder="1" applyAlignment="1">
      <alignment horizontal="right"/>
    </xf>
    <xf numFmtId="0" fontId="35" fillId="0" borderId="5" xfId="0" applyFont="1" applyBorder="1" applyAlignment="1">
      <alignment horizontal="center"/>
    </xf>
    <xf numFmtId="0" fontId="35" fillId="0" borderId="6" xfId="0" applyFont="1" applyBorder="1" applyAlignment="1">
      <alignment horizontal="center"/>
    </xf>
    <xf numFmtId="0" fontId="35" fillId="0" borderId="9" xfId="0" applyFont="1" applyBorder="1" applyAlignment="1">
      <alignment horizontal="center"/>
    </xf>
    <xf numFmtId="44" fontId="35" fillId="0" borderId="5" xfId="1" applyFont="1" applyBorder="1" applyAlignment="1">
      <alignment horizontal="center"/>
    </xf>
    <xf numFmtId="44" fontId="35" fillId="0" borderId="9" xfId="1" applyFont="1" applyBorder="1" applyAlignment="1">
      <alignment horizontal="center"/>
    </xf>
    <xf numFmtId="44" fontId="35" fillId="0" borderId="6" xfId="1" applyFont="1" applyBorder="1" applyAlignment="1">
      <alignment horizontal="center"/>
    </xf>
    <xf numFmtId="0" fontId="35" fillId="0" borderId="0" xfId="0" applyFont="1" applyAlignment="1">
      <alignment horizontal="center"/>
    </xf>
    <xf numFmtId="0" fontId="35" fillId="0" borderId="7" xfId="0" applyFont="1" applyBorder="1" applyAlignment="1">
      <alignment horizontal="left" vertical="top"/>
    </xf>
    <xf numFmtId="0" fontId="35" fillId="0" borderId="10" xfId="0" applyFont="1" applyBorder="1" applyAlignment="1">
      <alignment horizontal="left" vertical="top"/>
    </xf>
    <xf numFmtId="0" fontId="35" fillId="0" borderId="8" xfId="0" applyFont="1" applyBorder="1" applyAlignment="1">
      <alignment horizontal="left" vertical="top"/>
    </xf>
    <xf numFmtId="0" fontId="35" fillId="0" borderId="4" xfId="0" applyFont="1" applyBorder="1" applyAlignment="1">
      <alignment horizontal="center"/>
    </xf>
    <xf numFmtId="0" fontId="35" fillId="0" borderId="12" xfId="0" applyFont="1" applyBorder="1" applyAlignment="1">
      <alignment horizontal="center"/>
    </xf>
    <xf numFmtId="0" fontId="35" fillId="0" borderId="13" xfId="0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36" fillId="0" borderId="0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31" fillId="7" borderId="7" xfId="0" applyFont="1" applyFill="1" applyBorder="1" applyAlignment="1">
      <alignment horizontal="center" vertical="center"/>
    </xf>
    <xf numFmtId="0" fontId="31" fillId="7" borderId="8" xfId="0" applyFont="1" applyFill="1" applyBorder="1" applyAlignment="1">
      <alignment horizontal="center" vertical="center"/>
    </xf>
    <xf numFmtId="0" fontId="31" fillId="7" borderId="5" xfId="0" applyFont="1" applyFill="1" applyBorder="1" applyAlignment="1">
      <alignment horizontal="center" vertical="center"/>
    </xf>
    <xf numFmtId="0" fontId="31" fillId="7" borderId="6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30" fillId="0" borderId="11" xfId="0" applyFont="1" applyBorder="1" applyAlignment="1">
      <alignment horizontal="left"/>
    </xf>
    <xf numFmtId="0" fontId="30" fillId="0" borderId="0" xfId="0" applyFont="1" applyBorder="1" applyAlignment="1">
      <alignment horizontal="left"/>
    </xf>
    <xf numFmtId="0" fontId="56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194" fontId="0" fillId="0" borderId="5" xfId="0" applyNumberFormat="1" applyBorder="1" applyAlignment="1">
      <alignment horizontal="left"/>
    </xf>
    <xf numFmtId="194" fontId="0" fillId="0" borderId="9" xfId="0" applyNumberFormat="1" applyBorder="1" applyAlignment="1">
      <alignment horizontal="left"/>
    </xf>
    <xf numFmtId="194" fontId="0" fillId="0" borderId="6" xfId="0" applyNumberFormat="1" applyBorder="1" applyAlignment="1">
      <alignment horizontal="left"/>
    </xf>
    <xf numFmtId="0" fontId="46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43" fillId="0" borderId="3" xfId="0" applyFont="1" applyBorder="1" applyAlignment="1">
      <alignment horizontal="left"/>
    </xf>
    <xf numFmtId="194" fontId="6" fillId="0" borderId="4" xfId="0" applyNumberFormat="1" applyFont="1" applyBorder="1" applyAlignment="1">
      <alignment horizontal="center"/>
    </xf>
    <xf numFmtId="194" fontId="6" fillId="0" borderId="2" xfId="0" applyNumberFormat="1" applyFont="1" applyBorder="1" applyAlignment="1">
      <alignment horizontal="center"/>
    </xf>
    <xf numFmtId="194" fontId="6" fillId="0" borderId="12" xfId="0" applyNumberFormat="1" applyFont="1" applyBorder="1" applyAlignment="1">
      <alignment horizontal="center"/>
    </xf>
    <xf numFmtId="194" fontId="6" fillId="0" borderId="11" xfId="0" applyNumberFormat="1" applyFont="1" applyBorder="1" applyAlignment="1">
      <alignment horizontal="center"/>
    </xf>
    <xf numFmtId="194" fontId="6" fillId="0" borderId="0" xfId="0" applyNumberFormat="1" applyFont="1" applyBorder="1" applyAlignment="1">
      <alignment horizontal="center"/>
    </xf>
    <xf numFmtId="194" fontId="6" fillId="0" borderId="15" xfId="0" applyNumberFormat="1" applyFont="1" applyBorder="1" applyAlignment="1">
      <alignment horizontal="center"/>
    </xf>
    <xf numFmtId="194" fontId="6" fillId="0" borderId="13" xfId="0" applyNumberFormat="1" applyFont="1" applyBorder="1" applyAlignment="1">
      <alignment horizontal="center"/>
    </xf>
    <xf numFmtId="194" fontId="6" fillId="0" borderId="3" xfId="0" applyNumberFormat="1" applyFont="1" applyBorder="1" applyAlignment="1">
      <alignment horizontal="center"/>
    </xf>
    <xf numFmtId="194" fontId="6" fillId="0" borderId="14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0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49" fillId="0" borderId="3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2" fillId="12" borderId="3" xfId="0" applyFont="1" applyFill="1" applyBorder="1"/>
    <xf numFmtId="0" fontId="0" fillId="12" borderId="3" xfId="0" applyFill="1" applyBorder="1"/>
    <xf numFmtId="0" fontId="0" fillId="12" borderId="0" xfId="0" applyFill="1" applyBorder="1"/>
    <xf numFmtId="0" fontId="12" fillId="12" borderId="0" xfId="0" applyFont="1" applyFill="1" applyAlignment="1">
      <alignment horizontal="left"/>
    </xf>
    <xf numFmtId="0" fontId="0" fillId="12" borderId="0" xfId="0" applyFill="1" applyAlignment="1">
      <alignment horizontal="left"/>
    </xf>
    <xf numFmtId="0" fontId="53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5" fillId="0" borderId="1" xfId="0" applyFont="1" applyBorder="1" applyAlignment="1">
      <alignment horizontal="center"/>
    </xf>
    <xf numFmtId="0" fontId="58" fillId="16" borderId="0" xfId="0" applyFont="1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30" fillId="14" borderId="0" xfId="0" applyFont="1" applyFill="1" applyAlignment="1">
      <alignment horizontal="center"/>
    </xf>
    <xf numFmtId="0" fontId="6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4" borderId="5" xfId="0" applyFill="1" applyBorder="1" applyAlignment="1">
      <alignment horizontal="center"/>
    </xf>
    <xf numFmtId="0" fontId="0" fillId="14" borderId="9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64" fillId="0" borderId="0" xfId="0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7" fillId="0" borderId="3" xfId="0" applyFont="1" applyBorder="1" applyAlignment="1">
      <alignment horizontal="center" vertical="center"/>
    </xf>
    <xf numFmtId="0" fontId="68" fillId="0" borderId="1" xfId="0" applyFont="1" applyBorder="1"/>
    <xf numFmtId="0" fontId="69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68" fillId="0" borderId="0" xfId="0" applyFont="1"/>
    <xf numFmtId="0" fontId="68" fillId="0" borderId="1" xfId="0" applyFont="1" applyBorder="1" applyAlignment="1">
      <alignment horizontal="center"/>
    </xf>
    <xf numFmtId="0" fontId="68" fillId="0" borderId="1" xfId="0" applyNumberFormat="1" applyFont="1" applyBorder="1" applyAlignment="1">
      <alignment horizontal="center"/>
    </xf>
    <xf numFmtId="189" fontId="68" fillId="0" borderId="1" xfId="0" applyNumberFormat="1" applyFont="1" applyBorder="1" applyAlignment="1">
      <alignment horizontal="center"/>
    </xf>
    <xf numFmtId="44" fontId="68" fillId="0" borderId="1" xfId="1" applyFont="1" applyBorder="1" applyAlignment="1">
      <alignment horizontal="center"/>
    </xf>
  </cellXfs>
  <cellStyles count="5">
    <cellStyle name="20% - Accent4" xfId="4" builtinId="42"/>
    <cellStyle name="20% - Accent5" xfId="2" builtinId="46"/>
    <cellStyle name="Currency" xfId="1" builtinId="4"/>
    <cellStyle name="Normal" xfId="0" builtinId="0"/>
    <cellStyle name="Percent" xfId="3" builtinId="5"/>
  </cellStyles>
  <dxfs count="3">
    <dxf>
      <font>
        <b/>
        <i val="0"/>
        <color theme="7" tint="0.39994506668294322"/>
      </font>
      <fill>
        <patternFill>
          <bgColor rgb="FF0070C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</font>
      <fill>
        <patternFill>
          <fgColor theme="2" tint="-9.9917600024414813E-2"/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theme="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pivotCacheDefinition" Target="pivotCache/pivotCacheDefinition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pivotCacheDefinition" Target="pivotCache/pivotCacheDefinition6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Sheet2!$B$21:$B$24</c:f>
              <c:strCache>
                <c:ptCount val="4"/>
                <c:pt idx="0">
                  <c:v>Sorn Theara</c:v>
                </c:pt>
                <c:pt idx="1">
                  <c:v>Loem Leena</c:v>
                </c:pt>
                <c:pt idx="2">
                  <c:v>Soeurn vany</c:v>
                </c:pt>
                <c:pt idx="3">
                  <c:v>Chin Sopheavy</c:v>
                </c:pt>
              </c:strCache>
            </c:strRef>
          </c:cat>
          <c:val>
            <c:numRef>
              <c:f>Sheet2!$C$21:$C$24</c:f>
              <c:numCache>
                <c:formatCode>_("$"* #,##0.00_);_("$"* \(#,##0.00\);_("$"* "-"??_);_(@_)</c:formatCode>
                <c:ptCount val="4"/>
                <c:pt idx="0">
                  <c:v>2209</c:v>
                </c:pt>
                <c:pt idx="1">
                  <c:v>3488</c:v>
                </c:pt>
                <c:pt idx="2">
                  <c:v>1612</c:v>
                </c:pt>
                <c:pt idx="3">
                  <c:v>1504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D3-446C-9DFB-5C09E1716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6411471"/>
        <c:axId val="1264814927"/>
      </c:barChart>
      <c:catAx>
        <c:axId val="99641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814927"/>
        <c:crosses val="autoZero"/>
        <c:auto val="1"/>
        <c:lblAlgn val="ctr"/>
        <c:lblOffset val="100"/>
        <c:noMultiLvlLbl val="0"/>
      </c:catAx>
      <c:valAx>
        <c:axId val="126481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41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</a:t>
            </a:r>
            <a:r>
              <a:rPr lang="en-US" baseline="0"/>
              <a:t>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Sheet3!$A$4</c:f>
              <c:strCache>
                <c:ptCount val="1"/>
                <c:pt idx="0">
                  <c:v>Repair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Sheet3!$B$3:$E$3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Sheet3!$B$4:$E$4</c:f>
              <c:numCache>
                <c:formatCode>General</c:formatCode>
                <c:ptCount val="4"/>
                <c:pt idx="0">
                  <c:v>1100</c:v>
                </c:pt>
                <c:pt idx="1">
                  <c:v>1000</c:v>
                </c:pt>
                <c:pt idx="2">
                  <c:v>1030</c:v>
                </c:pt>
                <c:pt idx="3">
                  <c:v>1010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C0-4EE5-9B14-2897CB453FEC}"/>
            </c:ext>
          </c:extLst>
        </c:ser>
        <c:ser>
          <c:idx val="1"/>
          <c:order val="1"/>
          <c:tx>
            <c:strRef>
              <c:f>Sheet3!$A$5</c:f>
              <c:strCache>
                <c:ptCount val="1"/>
                <c:pt idx="0">
                  <c:v>Corel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Sheet3!$B$3:$E$3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Sheet3!$B$5:$E$5</c:f>
              <c:numCache>
                <c:formatCode>General</c:formatCode>
                <c:ptCount val="4"/>
                <c:pt idx="0">
                  <c:v>995</c:v>
                </c:pt>
                <c:pt idx="1">
                  <c:v>1500</c:v>
                </c:pt>
                <c:pt idx="2">
                  <c:v>1070</c:v>
                </c:pt>
                <c:pt idx="3">
                  <c:v>1150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C0-4EE5-9B14-2897CB453FEC}"/>
            </c:ext>
          </c:extLst>
        </c:ser>
        <c:ser>
          <c:idx val="2"/>
          <c:order val="2"/>
          <c:tx>
            <c:strRef>
              <c:f>Sheet3!$A$6</c:f>
              <c:strCache>
                <c:ptCount val="1"/>
                <c:pt idx="0">
                  <c:v>Ad-Excel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Sheet3!$B$3:$E$3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Sheet3!$B$6:$E$6</c:f>
              <c:numCache>
                <c:formatCode>General</c:formatCode>
                <c:ptCount val="4"/>
                <c:pt idx="0">
                  <c:v>860</c:v>
                </c:pt>
                <c:pt idx="1">
                  <c:v>750</c:v>
                </c:pt>
                <c:pt idx="2">
                  <c:v>890</c:v>
                </c:pt>
                <c:pt idx="3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C0-4EE5-9B14-2897CB453FEC}"/>
            </c:ext>
          </c:extLst>
        </c:ser>
        <c:ser>
          <c:idx val="3"/>
          <c:order val="3"/>
          <c:tx>
            <c:strRef>
              <c:f>Sheet3!$A$7</c:f>
              <c:strCache>
                <c:ptCount val="1"/>
                <c:pt idx="0">
                  <c:v>IT Basic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Sheet3!$B$3:$E$3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Sheet3!$B$7:$E$7</c:f>
              <c:numCache>
                <c:formatCode>General</c:formatCode>
                <c:ptCount val="4"/>
                <c:pt idx="0">
                  <c:v>1250</c:v>
                </c:pt>
                <c:pt idx="1">
                  <c:v>1120</c:v>
                </c:pt>
                <c:pt idx="2">
                  <c:v>1000</c:v>
                </c:pt>
                <c:pt idx="3">
                  <c:v>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C0-4EE5-9B14-2897CB453F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2474511"/>
        <c:axId val="1944596911"/>
      </c:barChart>
      <c:catAx>
        <c:axId val="194247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596911"/>
        <c:crosses val="autoZero"/>
        <c:auto val="1"/>
        <c:lblAlgn val="ctr"/>
        <c:lblOffset val="100"/>
        <c:noMultiLvlLbl val="0"/>
      </c:catAx>
      <c:valAx>
        <c:axId val="194459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47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Sheet3!$A$4</c:f>
              <c:strCache>
                <c:ptCount val="1"/>
                <c:pt idx="0">
                  <c:v>Repair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D7-4CC5-9569-576654F8CD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D7-4CC5-9569-576654F8CD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D7-4CC5-9569-576654F8CD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D7-4CC5-9569-576654F8CD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Sheet3!$B$3:$E$3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Sheet3!$B$4:$E$4</c:f>
              <c:numCache>
                <c:formatCode>General</c:formatCode>
                <c:ptCount val="4"/>
                <c:pt idx="0">
                  <c:v>1100</c:v>
                </c:pt>
                <c:pt idx="1">
                  <c:v>1000</c:v>
                </c:pt>
                <c:pt idx="2">
                  <c:v>1030</c:v>
                </c:pt>
                <c:pt idx="3">
                  <c:v>1010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5-4630-B25E-1B2B742E7E7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Sheet3!$A$6</c:f>
              <c:strCache>
                <c:ptCount val="1"/>
                <c:pt idx="0">
                  <c:v>Ad-Excel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A6-4DCD-B5E5-0BD93D977E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A6-4DCD-B5E5-0BD93D977E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3A6-4DCD-B5E5-0BD93D977E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3A6-4DCD-B5E5-0BD93D977E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Sheet3!$B$3:$E$3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Sheet3!$B$6:$E$6</c:f>
              <c:numCache>
                <c:formatCode>General</c:formatCode>
                <c:ptCount val="4"/>
                <c:pt idx="0">
                  <c:v>860</c:v>
                </c:pt>
                <c:pt idx="1">
                  <c:v>750</c:v>
                </c:pt>
                <c:pt idx="2">
                  <c:v>890</c:v>
                </c:pt>
                <c:pt idx="3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7-4ACE-97B4-6079A8A3AA1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Sheet3!$A$7</c:f>
              <c:strCache>
                <c:ptCount val="1"/>
                <c:pt idx="0">
                  <c:v>IT Basic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Sheet3!$B$3:$E$3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Sheet3!$B$7:$E$7</c:f>
              <c:numCache>
                <c:formatCode>General</c:formatCode>
                <c:ptCount val="4"/>
                <c:pt idx="0">
                  <c:v>1250</c:v>
                </c:pt>
                <c:pt idx="1">
                  <c:v>1120</c:v>
                </c:pt>
                <c:pt idx="2">
                  <c:v>1000</c:v>
                </c:pt>
                <c:pt idx="3">
                  <c:v>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7C-4E30-87C8-5DDFFB5C8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8192223"/>
        <c:axId val="67973295"/>
      </c:barChart>
      <c:catAx>
        <c:axId val="2098192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73295"/>
        <c:crosses val="autoZero"/>
        <c:auto val="1"/>
        <c:lblAlgn val="ctr"/>
        <c:lblOffset val="100"/>
        <c:noMultiLvlLbl val="0"/>
      </c:catAx>
      <c:valAx>
        <c:axId val="67973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19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15299</xdr:colOff>
      <xdr:row>18</xdr:row>
      <xdr:rowOff>16984</xdr:rowOff>
    </xdr:from>
    <xdr:to>
      <xdr:col>6</xdr:col>
      <xdr:colOff>1346506</xdr:colOff>
      <xdr:row>30</xdr:row>
      <xdr:rowOff>7651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891389-8200-4A5A-89B0-477CADA983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13390</xdr:rowOff>
    </xdr:from>
    <xdr:to>
      <xdr:col>6</xdr:col>
      <xdr:colOff>99391</xdr:colOff>
      <xdr:row>22</xdr:row>
      <xdr:rowOff>147568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601353-C895-4217-8816-B1F096B4CC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22</xdr:row>
      <xdr:rowOff>165100</xdr:rowOff>
    </xdr:from>
    <xdr:to>
      <xdr:col>3</xdr:col>
      <xdr:colOff>12700</xdr:colOff>
      <xdr:row>33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08AC51-7894-4886-8124-052CE81B0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28575</xdr:colOff>
      <xdr:row>22</xdr:row>
      <xdr:rowOff>152400</xdr:rowOff>
    </xdr:from>
    <xdr:to>
      <xdr:col>6</xdr:col>
      <xdr:colOff>95250</xdr:colOff>
      <xdr:row>33</xdr:row>
      <xdr:rowOff>44450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E0B212-AC6D-4345-B017-6B56D8001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2290</xdr:colOff>
      <xdr:row>33</xdr:row>
      <xdr:rowOff>45826</xdr:rowOff>
    </xdr:from>
    <xdr:to>
      <xdr:col>6</xdr:col>
      <xdr:colOff>98195</xdr:colOff>
      <xdr:row>48</xdr:row>
      <xdr:rowOff>62419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C3EA42-7DE7-42F0-A6B7-C7902EF730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DC" refreshedDate="45539.723789004631" createdVersion="6" refreshedVersion="6" minRefreshableVersion="3" recordCount="15" xr:uid="{F0F79F90-6045-4341-9407-574EC4BCF12A}">
  <cacheSource type="worksheet">
    <worksheetSource ref="F4:G19" sheet="Sheet5"/>
  </cacheSource>
  <cacheFields count="2">
    <cacheField name="Function" numFmtId="0">
      <sharedItems count="7">
        <s v="Receptionist"/>
        <s v="Teacher"/>
        <s v="Security"/>
        <s v="Sale"/>
        <s v="Sale Supervise"/>
        <s v="Director"/>
        <s v="Cleaner"/>
      </sharedItems>
    </cacheField>
    <cacheField name="Salaries" numFmtId="44">
      <sharedItems containsSemiMixedTypes="0" containsString="0" containsNumber="1" containsInteger="1" minValue="120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DC" refreshedDate="45539.726089004631" createdVersion="6" refreshedVersion="6" minRefreshableVersion="3" recordCount="15" xr:uid="{A8EFCE30-2C9D-4973-9063-E98848BBCD27}">
  <cacheSource type="worksheet">
    <worksheetSource ref="C4:C19" sheet="Sheet5"/>
  </cacheSource>
  <cacheFields count="1">
    <cacheField name="Sex" numFmtId="0">
      <sharedItems count="2">
        <s v="F"/>
        <s v="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DC" refreshedDate="45539.730197222219" createdVersion="6" refreshedVersion="6" minRefreshableVersion="3" recordCount="15" xr:uid="{9D3DCBE6-CCA6-4050-839A-F4FADC338EEA}">
  <cacheSource type="worksheet">
    <worksheetSource ref="E4:E19" sheet="Sheet5"/>
  </cacheSource>
  <cacheFields count="1">
    <cacheField name="Place of birth" numFmtId="0">
      <sharedItems count="8">
        <s v="Prey Veng"/>
        <s v="Takoe"/>
        <s v="Phnom Penh"/>
        <s v="Kandal"/>
        <s v="Svay Rieng"/>
        <s v="Kampong Cham"/>
        <s v="Kratie"/>
        <s v="Kampong Tho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DC" refreshedDate="45539.73634236111" createdVersion="6" refreshedVersion="6" minRefreshableVersion="3" recordCount="15" xr:uid="{92DDE8C2-9DCC-4DC2-A25E-9D09F6FECDE8}">
  <cacheSource type="worksheet">
    <worksheetSource ref="G4:G19" sheet="Sheet5"/>
  </cacheSource>
  <cacheFields count="1">
    <cacheField name="Salaries" numFmtId="44">
      <sharedItems containsSemiMixedTypes="0" containsString="0" containsNumber="1" containsInteger="1" minValue="120" maxValue="500" count="6">
        <n v="120"/>
        <n v="200"/>
        <n v="250"/>
        <n v="320"/>
        <n v="500"/>
        <n v="1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DC" refreshedDate="45539.737706481479" createdVersion="6" refreshedVersion="6" minRefreshableVersion="3" recordCount="15" xr:uid="{C8A3FE2B-3B84-45D0-A6CB-C45951F1CC9B}">
  <cacheSource type="worksheet">
    <worksheetSource ref="F4:F19" sheet="Sheet5"/>
  </cacheSource>
  <cacheFields count="1">
    <cacheField name="Function" numFmtId="0">
      <sharedItems count="7">
        <s v="Receptionist"/>
        <s v="Teacher"/>
        <s v="Security"/>
        <s v="Sale"/>
        <s v="Sale Supervise"/>
        <s v="Director"/>
        <s v="Clean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DC" refreshedDate="45540.941567939815" createdVersion="6" refreshedVersion="6" minRefreshableVersion="3" recordCount="10" xr:uid="{5CBDCCAC-CE43-470C-ADEC-0EC64E5581AA}">
  <cacheSource type="worksheet">
    <worksheetSource ref="C26:E36" sheet="Sheet6"/>
  </cacheSource>
  <cacheFields count="3">
    <cacheField name="Sex" numFmtId="0">
      <sharedItems/>
    </cacheField>
    <cacheField name="Place of birth" numFmtId="0">
      <sharedItems/>
    </cacheField>
    <cacheField name="Function" numFmtId="0">
      <sharedItems count="6">
        <s v="Teacher"/>
        <s v="Receptionist"/>
        <s v="Security"/>
        <s v="Driver"/>
        <s v="Cleaner"/>
        <s v="Poli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DC" refreshedDate="45541.909787384262" createdVersion="6" refreshedVersion="6" minRefreshableVersion="3" recordCount="10" xr:uid="{5E31E798-87D8-4314-A85D-59EECB06B42B}">
  <cacheSource type="worksheet">
    <worksheetSource ref="E26:E36" sheet="Sheet6"/>
  </cacheSource>
  <cacheFields count="1">
    <cacheField name="Function" numFmtId="0">
      <sharedItems count="6">
        <s v="Teacher"/>
        <s v="Receptionist"/>
        <s v="Security"/>
        <s v="Driver"/>
        <s v="Cleaner"/>
        <s v="Poli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n v="120"/>
  </r>
  <r>
    <x v="0"/>
    <n v="200"/>
  </r>
  <r>
    <x v="1"/>
    <n v="250"/>
  </r>
  <r>
    <x v="2"/>
    <n v="320"/>
  </r>
  <r>
    <x v="3"/>
    <n v="250"/>
  </r>
  <r>
    <x v="3"/>
    <n v="120"/>
  </r>
  <r>
    <x v="3"/>
    <n v="500"/>
  </r>
  <r>
    <x v="1"/>
    <n v="250"/>
  </r>
  <r>
    <x v="3"/>
    <n v="150"/>
  </r>
  <r>
    <x v="0"/>
    <n v="250"/>
  </r>
  <r>
    <x v="4"/>
    <n v="250"/>
  </r>
  <r>
    <x v="1"/>
    <n v="120"/>
  </r>
  <r>
    <x v="5"/>
    <n v="150"/>
  </r>
  <r>
    <x v="6"/>
    <n v="120"/>
  </r>
  <r>
    <x v="6"/>
    <n v="2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</r>
  <r>
    <x v="1"/>
  </r>
  <r>
    <x v="2"/>
  </r>
  <r>
    <x v="3"/>
  </r>
  <r>
    <x v="3"/>
  </r>
  <r>
    <x v="4"/>
  </r>
  <r>
    <x v="5"/>
  </r>
  <r>
    <x v="6"/>
  </r>
  <r>
    <x v="7"/>
  </r>
  <r>
    <x v="5"/>
  </r>
  <r>
    <x v="3"/>
  </r>
  <r>
    <x v="6"/>
  </r>
  <r>
    <x v="5"/>
  </r>
  <r>
    <x v="2"/>
  </r>
  <r>
    <x v="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</r>
  <r>
    <x v="1"/>
  </r>
  <r>
    <x v="2"/>
  </r>
  <r>
    <x v="3"/>
  </r>
  <r>
    <x v="2"/>
  </r>
  <r>
    <x v="0"/>
  </r>
  <r>
    <x v="4"/>
  </r>
  <r>
    <x v="2"/>
  </r>
  <r>
    <x v="5"/>
  </r>
  <r>
    <x v="2"/>
  </r>
  <r>
    <x v="2"/>
  </r>
  <r>
    <x v="0"/>
  </r>
  <r>
    <x v="5"/>
  </r>
  <r>
    <x v="0"/>
  </r>
  <r>
    <x v="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</r>
  <r>
    <x v="0"/>
  </r>
  <r>
    <x v="1"/>
  </r>
  <r>
    <x v="2"/>
  </r>
  <r>
    <x v="3"/>
  </r>
  <r>
    <x v="3"/>
  </r>
  <r>
    <x v="3"/>
  </r>
  <r>
    <x v="1"/>
  </r>
  <r>
    <x v="3"/>
  </r>
  <r>
    <x v="0"/>
  </r>
  <r>
    <x v="4"/>
  </r>
  <r>
    <x v="1"/>
  </r>
  <r>
    <x v="5"/>
  </r>
  <r>
    <x v="6"/>
  </r>
  <r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M"/>
    <s v="Phnom Penh"/>
    <x v="0"/>
  </r>
  <r>
    <s v="F"/>
    <s v="Kandal"/>
    <x v="1"/>
  </r>
  <r>
    <s v="F"/>
    <s v="Takoe"/>
    <x v="2"/>
  </r>
  <r>
    <s v="M"/>
    <s v="Kratie"/>
    <x v="3"/>
  </r>
  <r>
    <s v="F"/>
    <s v="Kampong Cham"/>
    <x v="0"/>
  </r>
  <r>
    <s v="M"/>
    <s v="Phnom Penh"/>
    <x v="0"/>
  </r>
  <r>
    <s v="M"/>
    <s v="Kandal"/>
    <x v="3"/>
  </r>
  <r>
    <s v="F"/>
    <s v="Prey Veng"/>
    <x v="4"/>
  </r>
  <r>
    <s v="F"/>
    <s v="Kandal"/>
    <x v="2"/>
  </r>
  <r>
    <s v="M"/>
    <s v="Phnom Penh"/>
    <x v="5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</r>
  <r>
    <x v="1"/>
  </r>
  <r>
    <x v="2"/>
  </r>
  <r>
    <x v="3"/>
  </r>
  <r>
    <x v="0"/>
  </r>
  <r>
    <x v="0"/>
  </r>
  <r>
    <x v="3"/>
  </r>
  <r>
    <x v="4"/>
  </r>
  <r>
    <x v="2"/>
  </r>
  <r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5D9A64-8BF1-4B75-822C-305937429209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22:F25" firstHeaderRow="1" firstDataRow="1" firstDataCol="1"/>
  <pivotFields count="1">
    <pivotField axis="axisRow" dataField="1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ex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27E299-5C64-4BDE-A78A-4B1E2DF606D6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22:C30" firstHeaderRow="1" firstDataRow="1" firstDataCol="1"/>
  <pivotFields count="2">
    <pivotField axis="axisRow" showAll="0">
      <items count="8">
        <item x="6"/>
        <item x="5"/>
        <item x="0"/>
        <item x="3"/>
        <item x="4"/>
        <item x="2"/>
        <item x="1"/>
        <item t="default"/>
      </items>
    </pivotField>
    <pivotField dataField="1" numFmtId="44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ari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FD9E9-C0D9-46C9-8F5F-492614E61EB1}" name="PivotTable10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36:F44" firstHeaderRow="1" firstDataRow="1" firstDataCol="1"/>
  <pivotFields count="1">
    <pivotField axis="axisRow" dataField="1" showAll="0">
      <items count="8">
        <item x="6"/>
        <item x="5"/>
        <item x="0"/>
        <item x="3"/>
        <item x="4"/>
        <item x="2"/>
        <item x="1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Funct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1974D2-B5FD-465F-B080-E888BCBA1C77}" name="PivotTable9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27:F34" firstHeaderRow="1" firstDataRow="1" firstDataCol="1"/>
  <pivotFields count="1">
    <pivotField axis="axisRow" dataField="1" numFmtId="44" showAll="0">
      <items count="7">
        <item x="0"/>
        <item x="5"/>
        <item x="1"/>
        <item x="2"/>
        <item x="3"/>
        <item x="4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alari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59F7B9-48F6-4B9C-AD59-CF6D1D2342DC}" name="PivotTable5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32:C41" firstHeaderRow="1" firstDataRow="1" firstDataCol="1"/>
  <pivotFields count="1">
    <pivotField axis="axisRow" dataField="1" showAll="0">
      <items count="9">
        <item x="5"/>
        <item x="7"/>
        <item x="3"/>
        <item x="6"/>
        <item x="2"/>
        <item x="0"/>
        <item x="4"/>
        <item x="1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Place of birth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0DF2C2-A5B9-4029-B248-2DC1415E1076}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38:E45" firstHeaderRow="1" firstDataRow="1" firstDataCol="1"/>
  <pivotFields count="1">
    <pivotField axis="axisRow" dataField="1" showAll="0">
      <items count="7">
        <item x="4"/>
        <item x="3"/>
        <item x="5"/>
        <item x="1"/>
        <item x="2"/>
        <item x="0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Funct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2D949D-FA9A-4E83-BDED-36FEE96B7EF2}" name="PivotTable6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8:B45" firstHeaderRow="1" firstDataRow="1" firstDataCol="1"/>
  <pivotFields count="3">
    <pivotField dataField="1" showAll="0"/>
    <pivotField showAll="0"/>
    <pivotField axis="axisRow" showAll="0">
      <items count="7">
        <item x="4"/>
        <item x="3"/>
        <item x="5"/>
        <item x="1"/>
        <item x="2"/>
        <item x="0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ex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5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C948-76FD-467D-967C-51D2FDDF4F03}">
  <dimension ref="A1:I45"/>
  <sheetViews>
    <sheetView topLeftCell="A33" zoomScale="97" zoomScaleNormal="85" workbookViewId="0">
      <selection activeCell="H5" sqref="H5"/>
    </sheetView>
  </sheetViews>
  <sheetFormatPr defaultRowHeight="14.5"/>
  <cols>
    <col min="2" max="2" width="17.54296875" customWidth="1"/>
    <col min="3" max="8" width="13" style="9" customWidth="1"/>
  </cols>
  <sheetData>
    <row r="1" spans="1:9">
      <c r="A1" s="26"/>
      <c r="B1" s="28" t="s">
        <v>1</v>
      </c>
      <c r="C1" s="121" t="s">
        <v>2</v>
      </c>
      <c r="D1" s="121" t="s">
        <v>3</v>
      </c>
      <c r="E1" s="121" t="s">
        <v>4</v>
      </c>
      <c r="F1" s="121" t="s">
        <v>5</v>
      </c>
      <c r="G1" s="121" t="s">
        <v>6</v>
      </c>
      <c r="H1" s="121" t="s">
        <v>7</v>
      </c>
    </row>
    <row r="2" spans="1:9">
      <c r="A2" s="28">
        <v>1</v>
      </c>
      <c r="B2" s="196" t="s">
        <v>0</v>
      </c>
      <c r="C2" s="196"/>
      <c r="D2" s="196"/>
      <c r="E2" s="196"/>
      <c r="F2" s="196"/>
      <c r="G2" s="196"/>
      <c r="H2" s="196"/>
    </row>
    <row r="3" spans="1:9">
      <c r="A3" s="28">
        <v>2</v>
      </c>
      <c r="B3" s="196"/>
      <c r="C3" s="196"/>
      <c r="D3" s="196"/>
      <c r="E3" s="196"/>
      <c r="F3" s="196"/>
      <c r="G3" s="196"/>
      <c r="H3" s="196"/>
    </row>
    <row r="4" spans="1:9">
      <c r="A4" s="28">
        <v>3</v>
      </c>
      <c r="B4" s="6" t="s">
        <v>8</v>
      </c>
      <c r="C4" s="10" t="s">
        <v>20</v>
      </c>
      <c r="D4" s="10" t="s">
        <v>21</v>
      </c>
      <c r="E4" s="10" t="s">
        <v>22</v>
      </c>
      <c r="F4" s="11" t="s">
        <v>23</v>
      </c>
      <c r="G4" s="11" t="s">
        <v>24</v>
      </c>
      <c r="H4" s="11" t="s">
        <v>25</v>
      </c>
      <c r="I4" s="8"/>
    </row>
    <row r="5" spans="1:9">
      <c r="A5" s="28">
        <v>4</v>
      </c>
      <c r="B5" s="6" t="s">
        <v>9</v>
      </c>
      <c r="C5" s="14">
        <v>6300</v>
      </c>
      <c r="D5" s="12">
        <v>6000</v>
      </c>
      <c r="E5" s="12">
        <v>6500</v>
      </c>
      <c r="F5" s="12">
        <f>MAX(C5:E5)</f>
        <v>6500</v>
      </c>
      <c r="G5" s="12">
        <f>MIN(C5:E5)</f>
        <v>6000</v>
      </c>
      <c r="H5" s="12">
        <f>AVERAGE(C5:E5)</f>
        <v>6266.666666666667</v>
      </c>
    </row>
    <row r="6" spans="1:9">
      <c r="A6" s="28">
        <v>5</v>
      </c>
      <c r="B6" s="6" t="s">
        <v>10</v>
      </c>
      <c r="C6" s="12">
        <v>550</v>
      </c>
      <c r="D6" s="12">
        <v>550</v>
      </c>
      <c r="E6" s="12">
        <v>550</v>
      </c>
      <c r="F6" s="12">
        <f t="shared" ref="F6:F8" si="0">MAX(C6:E6)</f>
        <v>550</v>
      </c>
      <c r="G6" s="12">
        <f t="shared" ref="G6:G8" si="1">MIN(C6:E6)</f>
        <v>550</v>
      </c>
      <c r="H6" s="12">
        <f t="shared" ref="H6:H8" si="2">AVERAGE(C6:E6)</f>
        <v>550</v>
      </c>
    </row>
    <row r="7" spans="1:9">
      <c r="A7" s="28">
        <v>6</v>
      </c>
      <c r="B7" s="6" t="s">
        <v>11</v>
      </c>
      <c r="C7" s="12">
        <v>5100</v>
      </c>
      <c r="D7" s="12">
        <v>5125</v>
      </c>
      <c r="E7" s="12">
        <v>5150</v>
      </c>
      <c r="F7" s="12">
        <f t="shared" si="0"/>
        <v>5150</v>
      </c>
      <c r="G7" s="12">
        <f t="shared" si="1"/>
        <v>5100</v>
      </c>
      <c r="H7" s="12">
        <f t="shared" si="2"/>
        <v>5125</v>
      </c>
    </row>
    <row r="8" spans="1:9">
      <c r="A8" s="28">
        <v>7</v>
      </c>
      <c r="B8" s="6" t="s">
        <v>12</v>
      </c>
      <c r="C8" s="12">
        <v>5250</v>
      </c>
      <c r="D8" s="12">
        <v>5100</v>
      </c>
      <c r="E8" s="12">
        <v>5300</v>
      </c>
      <c r="F8" s="12">
        <f t="shared" si="0"/>
        <v>5300</v>
      </c>
      <c r="G8" s="12">
        <f t="shared" si="1"/>
        <v>5100</v>
      </c>
      <c r="H8" s="12">
        <f t="shared" si="2"/>
        <v>5216.666666666667</v>
      </c>
    </row>
    <row r="9" spans="1:9">
      <c r="A9" s="28">
        <v>8</v>
      </c>
      <c r="B9" s="7" t="s">
        <v>13</v>
      </c>
      <c r="C9" s="15">
        <f t="shared" ref="C9:H9" si="3">SUM(C5:C8)</f>
        <v>17200</v>
      </c>
      <c r="D9" s="15">
        <f t="shared" si="3"/>
        <v>16775</v>
      </c>
      <c r="E9" s="15">
        <f t="shared" si="3"/>
        <v>17500</v>
      </c>
      <c r="F9" s="15">
        <f t="shared" si="3"/>
        <v>17500</v>
      </c>
      <c r="G9" s="15">
        <f t="shared" si="3"/>
        <v>16750</v>
      </c>
      <c r="H9" s="15">
        <f t="shared" si="3"/>
        <v>17158.333333333336</v>
      </c>
    </row>
    <row r="10" spans="1:9">
      <c r="A10" s="28">
        <v>9</v>
      </c>
      <c r="B10" s="26"/>
      <c r="C10" s="12"/>
      <c r="D10" s="12"/>
      <c r="E10" s="12"/>
      <c r="F10" s="12"/>
      <c r="G10" s="12"/>
      <c r="H10" s="12"/>
    </row>
    <row r="11" spans="1:9">
      <c r="A11" s="28">
        <v>10</v>
      </c>
      <c r="B11" s="4" t="s">
        <v>14</v>
      </c>
      <c r="C11" s="12">
        <v>4550</v>
      </c>
      <c r="D11" s="12">
        <v>5000</v>
      </c>
      <c r="E11" s="12">
        <v>5290</v>
      </c>
      <c r="F11" s="12">
        <f>MAX(C11:E11)</f>
        <v>5290</v>
      </c>
      <c r="G11" s="12">
        <f>MIN(C11:E11)</f>
        <v>4550</v>
      </c>
      <c r="H11" s="12">
        <f>AVERAGE(C11:E11)</f>
        <v>4946.666666666667</v>
      </c>
    </row>
    <row r="12" spans="1:9">
      <c r="A12" s="28">
        <v>11</v>
      </c>
      <c r="B12" s="4" t="s">
        <v>15</v>
      </c>
      <c r="C12" s="12">
        <v>1200</v>
      </c>
      <c r="D12" s="12">
        <v>1350</v>
      </c>
      <c r="E12" s="12">
        <v>1500</v>
      </c>
      <c r="F12" s="12">
        <f t="shared" ref="F12:F14" si="4">MAX(C12:E12)</f>
        <v>1500</v>
      </c>
      <c r="G12" s="12">
        <f t="shared" ref="G12:G15" si="5">MIN(C12:E12)</f>
        <v>1200</v>
      </c>
      <c r="H12" s="12">
        <f t="shared" ref="H12:H15" si="6">AVERAGE(C12:E12)</f>
        <v>1350</v>
      </c>
    </row>
    <row r="13" spans="1:9">
      <c r="A13" s="28">
        <v>12</v>
      </c>
      <c r="B13" s="4" t="s">
        <v>16</v>
      </c>
      <c r="C13" s="12">
        <v>545</v>
      </c>
      <c r="D13" s="12">
        <v>600</v>
      </c>
      <c r="E13" s="12">
        <v>750</v>
      </c>
      <c r="F13" s="12">
        <f t="shared" si="4"/>
        <v>750</v>
      </c>
      <c r="G13" s="12">
        <f t="shared" si="5"/>
        <v>545</v>
      </c>
      <c r="H13" s="12">
        <f t="shared" si="6"/>
        <v>631.66666666666663</v>
      </c>
    </row>
    <row r="14" spans="1:9">
      <c r="A14" s="28">
        <v>13</v>
      </c>
      <c r="B14" s="4" t="s">
        <v>17</v>
      </c>
      <c r="C14" s="12">
        <v>450</v>
      </c>
      <c r="D14" s="12">
        <v>480</v>
      </c>
      <c r="E14" s="12">
        <v>500</v>
      </c>
      <c r="F14" s="12">
        <f t="shared" si="4"/>
        <v>500</v>
      </c>
      <c r="G14" s="12">
        <f t="shared" si="5"/>
        <v>450</v>
      </c>
      <c r="H14" s="12">
        <f t="shared" si="6"/>
        <v>476.66666666666669</v>
      </c>
    </row>
    <row r="15" spans="1:9">
      <c r="A15" s="28">
        <v>14</v>
      </c>
      <c r="B15" s="5" t="s">
        <v>18</v>
      </c>
      <c r="C15" s="15">
        <f>SUM(C11:C14)</f>
        <v>6745</v>
      </c>
      <c r="D15" s="15">
        <f>SUM(D11:D14)</f>
        <v>7430</v>
      </c>
      <c r="E15" s="15">
        <f>SUM(E11:E14)</f>
        <v>8040</v>
      </c>
      <c r="F15" s="15">
        <f>MAX(C15:E15)</f>
        <v>8040</v>
      </c>
      <c r="G15" s="15">
        <f t="shared" si="5"/>
        <v>6745</v>
      </c>
      <c r="H15" s="15">
        <f t="shared" si="6"/>
        <v>7405</v>
      </c>
    </row>
    <row r="16" spans="1:9">
      <c r="A16" s="28">
        <v>15</v>
      </c>
      <c r="B16" s="4"/>
      <c r="C16" s="12"/>
      <c r="D16" s="12"/>
      <c r="E16" s="12"/>
      <c r="F16" s="12"/>
      <c r="G16" s="12"/>
      <c r="H16" s="12"/>
    </row>
    <row r="17" spans="1:8">
      <c r="A17" s="28">
        <v>16</v>
      </c>
      <c r="B17" s="4" t="s">
        <v>19</v>
      </c>
      <c r="C17" s="12">
        <f>C9-C15</f>
        <v>10455</v>
      </c>
      <c r="D17" s="12">
        <f>D9-D15</f>
        <v>9345</v>
      </c>
      <c r="E17" s="12">
        <f t="shared" ref="E17:H17" si="7">E9-E15</f>
        <v>9460</v>
      </c>
      <c r="F17" s="12">
        <f t="shared" si="7"/>
        <v>9460</v>
      </c>
      <c r="G17" s="12">
        <f t="shared" si="7"/>
        <v>10005</v>
      </c>
      <c r="H17" s="12">
        <f t="shared" si="7"/>
        <v>9753.3333333333358</v>
      </c>
    </row>
    <row r="18" spans="1:8">
      <c r="A18" s="1">
        <v>17</v>
      </c>
      <c r="B18" s="197"/>
      <c r="C18" s="197"/>
      <c r="D18" s="197"/>
      <c r="E18" s="197"/>
      <c r="F18" s="197"/>
      <c r="G18" s="197"/>
      <c r="H18" s="197"/>
    </row>
    <row r="19" spans="1:8">
      <c r="A19" s="1">
        <v>18</v>
      </c>
      <c r="B19" s="4" t="s">
        <v>34</v>
      </c>
      <c r="C19" s="13" t="s">
        <v>37</v>
      </c>
      <c r="D19" s="13"/>
      <c r="E19" s="13"/>
      <c r="F19" s="13"/>
      <c r="G19" s="13"/>
      <c r="H19" s="13"/>
    </row>
    <row r="20" spans="1:8">
      <c r="A20" s="1">
        <v>19</v>
      </c>
      <c r="B20" s="4" t="s">
        <v>35</v>
      </c>
      <c r="C20" s="13" t="s">
        <v>38</v>
      </c>
      <c r="D20" s="13"/>
      <c r="E20" s="13"/>
      <c r="F20" s="13"/>
      <c r="G20" s="13"/>
      <c r="H20" s="13"/>
    </row>
    <row r="21" spans="1:8">
      <c r="A21" s="1">
        <v>20</v>
      </c>
      <c r="B21" s="4" t="s">
        <v>36</v>
      </c>
      <c r="C21" s="13" t="s">
        <v>33</v>
      </c>
      <c r="D21" s="13"/>
      <c r="E21" s="13"/>
      <c r="F21" s="13"/>
      <c r="G21" s="13"/>
      <c r="H21" s="13"/>
    </row>
    <row r="22" spans="1:8">
      <c r="A22" s="1">
        <v>21</v>
      </c>
      <c r="B22" s="3"/>
      <c r="C22" s="13"/>
      <c r="D22" s="13"/>
      <c r="E22" s="13"/>
      <c r="F22" s="13"/>
      <c r="G22" s="13"/>
      <c r="H22" s="13"/>
    </row>
    <row r="23" spans="1:8">
      <c r="A23" s="1">
        <v>22</v>
      </c>
      <c r="B23" s="3"/>
      <c r="C23" s="13"/>
      <c r="D23" s="13"/>
      <c r="E23" s="13"/>
      <c r="F23" s="13"/>
      <c r="G23" s="13"/>
      <c r="H23" s="13"/>
    </row>
    <row r="24" spans="1:8">
      <c r="A24" s="28">
        <v>23</v>
      </c>
      <c r="B24" s="122" t="s">
        <v>26</v>
      </c>
      <c r="C24" s="123" t="s">
        <v>27</v>
      </c>
      <c r="D24" s="123" t="s">
        <v>28</v>
      </c>
      <c r="E24" s="123" t="s">
        <v>29</v>
      </c>
      <c r="F24" s="123" t="s">
        <v>30</v>
      </c>
      <c r="G24" s="123" t="s">
        <v>31</v>
      </c>
      <c r="H24" s="123" t="s">
        <v>32</v>
      </c>
    </row>
    <row r="25" spans="1:8">
      <c r="A25" s="28">
        <v>24</v>
      </c>
      <c r="B25" s="124">
        <v>42829</v>
      </c>
      <c r="C25" s="12" t="s">
        <v>39</v>
      </c>
      <c r="D25" s="125" t="s">
        <v>46</v>
      </c>
      <c r="E25" s="12" t="s">
        <v>66</v>
      </c>
      <c r="F25" s="126">
        <v>10</v>
      </c>
      <c r="G25" s="12">
        <v>14</v>
      </c>
      <c r="H25" s="12">
        <f>(F25*G25)</f>
        <v>140</v>
      </c>
    </row>
    <row r="26" spans="1:8">
      <c r="A26" s="28">
        <v>25</v>
      </c>
      <c r="B26" s="124">
        <v>42830</v>
      </c>
      <c r="C26" s="12" t="s">
        <v>40</v>
      </c>
      <c r="D26" s="125" t="s">
        <v>47</v>
      </c>
      <c r="E26" s="12" t="s">
        <v>67</v>
      </c>
      <c r="F26" s="126">
        <v>20</v>
      </c>
      <c r="G26" s="12">
        <v>12</v>
      </c>
      <c r="H26" s="12">
        <f t="shared" ref="H26:H44" si="8">(F26*G26)</f>
        <v>240</v>
      </c>
    </row>
    <row r="27" spans="1:8">
      <c r="A27" s="28">
        <v>26</v>
      </c>
      <c r="B27" s="124">
        <v>42831</v>
      </c>
      <c r="C27" s="12" t="s">
        <v>41</v>
      </c>
      <c r="D27" s="125" t="s">
        <v>48</v>
      </c>
      <c r="E27" s="12" t="s">
        <v>68</v>
      </c>
      <c r="F27" s="126">
        <v>15</v>
      </c>
      <c r="G27" s="12">
        <v>12</v>
      </c>
      <c r="H27" s="12">
        <f t="shared" si="8"/>
        <v>180</v>
      </c>
    </row>
    <row r="28" spans="1:8">
      <c r="A28" s="28">
        <v>27</v>
      </c>
      <c r="B28" s="124">
        <v>42832</v>
      </c>
      <c r="C28" s="12" t="s">
        <v>42</v>
      </c>
      <c r="D28" s="125" t="s">
        <v>49</v>
      </c>
      <c r="E28" s="12" t="s">
        <v>69</v>
      </c>
      <c r="F28" s="126">
        <v>10</v>
      </c>
      <c r="G28" s="12">
        <v>8</v>
      </c>
      <c r="H28" s="12">
        <f t="shared" si="8"/>
        <v>80</v>
      </c>
    </row>
    <row r="29" spans="1:8">
      <c r="A29" s="28">
        <v>28</v>
      </c>
      <c r="B29" s="124">
        <v>42833</v>
      </c>
      <c r="C29" s="12" t="s">
        <v>43</v>
      </c>
      <c r="D29" s="125" t="s">
        <v>50</v>
      </c>
      <c r="E29" s="12" t="s">
        <v>70</v>
      </c>
      <c r="F29" s="126">
        <v>18</v>
      </c>
      <c r="G29" s="12">
        <v>13</v>
      </c>
      <c r="H29" s="12">
        <f t="shared" si="8"/>
        <v>234</v>
      </c>
    </row>
    <row r="30" spans="1:8">
      <c r="A30" s="28">
        <v>29</v>
      </c>
      <c r="B30" s="124">
        <v>42834</v>
      </c>
      <c r="C30" s="12" t="s">
        <v>44</v>
      </c>
      <c r="D30" s="125" t="s">
        <v>51</v>
      </c>
      <c r="E30" s="12" t="s">
        <v>71</v>
      </c>
      <c r="F30" s="126">
        <v>12</v>
      </c>
      <c r="G30" s="12">
        <v>18</v>
      </c>
      <c r="H30" s="12">
        <f t="shared" si="8"/>
        <v>216</v>
      </c>
    </row>
    <row r="31" spans="1:8">
      <c r="A31" s="28">
        <v>30</v>
      </c>
      <c r="B31" s="124">
        <v>42835</v>
      </c>
      <c r="C31" s="12" t="s">
        <v>45</v>
      </c>
      <c r="D31" s="125" t="s">
        <v>52</v>
      </c>
      <c r="E31" s="12" t="s">
        <v>69</v>
      </c>
      <c r="F31" s="126">
        <v>25</v>
      </c>
      <c r="G31" s="12">
        <v>11</v>
      </c>
      <c r="H31" s="12">
        <f t="shared" si="8"/>
        <v>275</v>
      </c>
    </row>
    <row r="32" spans="1:8">
      <c r="A32" s="28">
        <v>31</v>
      </c>
      <c r="B32" s="124">
        <v>42836</v>
      </c>
      <c r="C32" s="12" t="s">
        <v>45</v>
      </c>
      <c r="D32" s="125" t="s">
        <v>53</v>
      </c>
      <c r="E32" s="12" t="s">
        <v>68</v>
      </c>
      <c r="F32" s="126">
        <v>10</v>
      </c>
      <c r="G32" s="12">
        <v>11</v>
      </c>
      <c r="H32" s="12">
        <f t="shared" si="8"/>
        <v>110</v>
      </c>
    </row>
    <row r="33" spans="1:8">
      <c r="A33" s="28">
        <v>32</v>
      </c>
      <c r="B33" s="124">
        <v>42837</v>
      </c>
      <c r="C33" s="12" t="s">
        <v>45</v>
      </c>
      <c r="D33" s="125" t="s">
        <v>54</v>
      </c>
      <c r="E33" s="12" t="s">
        <v>72</v>
      </c>
      <c r="F33" s="126">
        <v>25</v>
      </c>
      <c r="G33" s="12">
        <v>11</v>
      </c>
      <c r="H33" s="12">
        <f t="shared" si="8"/>
        <v>275</v>
      </c>
    </row>
    <row r="34" spans="1:8">
      <c r="A34" s="28">
        <v>33</v>
      </c>
      <c r="B34" s="124">
        <v>42838</v>
      </c>
      <c r="C34" s="12" t="s">
        <v>39</v>
      </c>
      <c r="D34" s="125" t="s">
        <v>55</v>
      </c>
      <c r="E34" s="12" t="s">
        <v>71</v>
      </c>
      <c r="F34" s="126">
        <v>40</v>
      </c>
      <c r="G34" s="12">
        <v>14</v>
      </c>
      <c r="H34" s="12">
        <f t="shared" si="8"/>
        <v>560</v>
      </c>
    </row>
    <row r="35" spans="1:8">
      <c r="A35" s="28">
        <v>34</v>
      </c>
      <c r="B35" s="124">
        <v>42839</v>
      </c>
      <c r="C35" s="12" t="s">
        <v>42</v>
      </c>
      <c r="D35" s="125" t="s">
        <v>56</v>
      </c>
      <c r="E35" s="12" t="s">
        <v>72</v>
      </c>
      <c r="F35" s="126">
        <v>45</v>
      </c>
      <c r="G35" s="12">
        <v>8</v>
      </c>
      <c r="H35" s="12">
        <f t="shared" si="8"/>
        <v>360</v>
      </c>
    </row>
    <row r="36" spans="1:8">
      <c r="A36" s="28">
        <v>35</v>
      </c>
      <c r="B36" s="124">
        <v>42840</v>
      </c>
      <c r="C36" s="12" t="s">
        <v>43</v>
      </c>
      <c r="D36" s="125" t="s">
        <v>57</v>
      </c>
      <c r="E36" s="12" t="s">
        <v>66</v>
      </c>
      <c r="F36" s="126">
        <v>50</v>
      </c>
      <c r="G36" s="12">
        <v>13</v>
      </c>
      <c r="H36" s="12">
        <f t="shared" si="8"/>
        <v>650</v>
      </c>
    </row>
    <row r="37" spans="1:8">
      <c r="A37" s="28">
        <v>36</v>
      </c>
      <c r="B37" s="124">
        <v>42841</v>
      </c>
      <c r="C37" s="12" t="s">
        <v>44</v>
      </c>
      <c r="D37" s="125" t="s">
        <v>58</v>
      </c>
      <c r="E37" s="12" t="s">
        <v>72</v>
      </c>
      <c r="F37" s="126">
        <v>44</v>
      </c>
      <c r="G37" s="12">
        <v>18</v>
      </c>
      <c r="H37" s="12">
        <f t="shared" si="8"/>
        <v>792</v>
      </c>
    </row>
    <row r="38" spans="1:8">
      <c r="A38" s="28">
        <v>37</v>
      </c>
      <c r="B38" s="124">
        <v>42842</v>
      </c>
      <c r="C38" s="12" t="s">
        <v>44</v>
      </c>
      <c r="D38" s="125" t="s">
        <v>59</v>
      </c>
      <c r="E38" s="12" t="s">
        <v>72</v>
      </c>
      <c r="F38" s="126">
        <v>35</v>
      </c>
      <c r="G38" s="12">
        <v>18</v>
      </c>
      <c r="H38" s="12">
        <f t="shared" si="8"/>
        <v>630</v>
      </c>
    </row>
    <row r="39" spans="1:8">
      <c r="A39" s="28">
        <v>38</v>
      </c>
      <c r="B39" s="124">
        <v>42843</v>
      </c>
      <c r="C39" s="12" t="s">
        <v>39</v>
      </c>
      <c r="D39" s="125" t="s">
        <v>60</v>
      </c>
      <c r="E39" s="12" t="s">
        <v>68</v>
      </c>
      <c r="F39" s="126">
        <v>20</v>
      </c>
      <c r="G39" s="12">
        <v>12</v>
      </c>
      <c r="H39" s="12">
        <f t="shared" si="8"/>
        <v>240</v>
      </c>
    </row>
    <row r="40" spans="1:8">
      <c r="A40" s="28">
        <v>39</v>
      </c>
      <c r="B40" s="124">
        <v>42844</v>
      </c>
      <c r="C40" s="12" t="s">
        <v>39</v>
      </c>
      <c r="D40" s="125" t="s">
        <v>61</v>
      </c>
      <c r="E40" s="12" t="s">
        <v>69</v>
      </c>
      <c r="F40" s="126">
        <v>30</v>
      </c>
      <c r="G40" s="12">
        <v>12</v>
      </c>
      <c r="H40" s="12">
        <f t="shared" si="8"/>
        <v>360</v>
      </c>
    </row>
    <row r="41" spans="1:8">
      <c r="A41" s="28">
        <v>40</v>
      </c>
      <c r="B41" s="124">
        <v>42845</v>
      </c>
      <c r="C41" s="12" t="s">
        <v>40</v>
      </c>
      <c r="D41" s="125" t="s">
        <v>62</v>
      </c>
      <c r="E41" s="12" t="s">
        <v>69</v>
      </c>
      <c r="F41" s="126">
        <v>10</v>
      </c>
      <c r="G41" s="12">
        <v>12</v>
      </c>
      <c r="H41" s="12">
        <f t="shared" si="8"/>
        <v>120</v>
      </c>
    </row>
    <row r="42" spans="1:8">
      <c r="A42" s="28">
        <v>41</v>
      </c>
      <c r="B42" s="124">
        <v>42846</v>
      </c>
      <c r="C42" s="12" t="s">
        <v>40</v>
      </c>
      <c r="D42" s="125" t="s">
        <v>63</v>
      </c>
      <c r="E42" s="12" t="s">
        <v>73</v>
      </c>
      <c r="F42" s="126">
        <v>30</v>
      </c>
      <c r="G42" s="12">
        <v>12</v>
      </c>
      <c r="H42" s="12">
        <f t="shared" si="8"/>
        <v>360</v>
      </c>
    </row>
    <row r="43" spans="1:8">
      <c r="A43" s="28">
        <v>42</v>
      </c>
      <c r="B43" s="124">
        <v>42847</v>
      </c>
      <c r="C43" s="12" t="s">
        <v>42</v>
      </c>
      <c r="D43" s="125" t="s">
        <v>64</v>
      </c>
      <c r="E43" s="12" t="s">
        <v>67</v>
      </c>
      <c r="F43" s="126">
        <v>39</v>
      </c>
      <c r="G43" s="12">
        <v>8</v>
      </c>
      <c r="H43" s="12">
        <f t="shared" si="8"/>
        <v>312</v>
      </c>
    </row>
    <row r="44" spans="1:8">
      <c r="A44" s="28">
        <v>43</v>
      </c>
      <c r="B44" s="124">
        <v>42848</v>
      </c>
      <c r="C44" s="12" t="s">
        <v>39</v>
      </c>
      <c r="D44" s="125" t="s">
        <v>65</v>
      </c>
      <c r="E44" s="121" t="s">
        <v>70</v>
      </c>
      <c r="F44" s="126">
        <v>15</v>
      </c>
      <c r="G44" s="121">
        <v>14</v>
      </c>
      <c r="H44" s="12">
        <f t="shared" si="8"/>
        <v>210</v>
      </c>
    </row>
    <row r="45" spans="1:8">
      <c r="A45" s="58"/>
      <c r="B45" s="58"/>
      <c r="C45" s="127"/>
      <c r="D45" s="127"/>
      <c r="E45" s="127"/>
      <c r="F45" s="127"/>
      <c r="G45" s="127"/>
      <c r="H45" s="127"/>
    </row>
  </sheetData>
  <mergeCells count="2">
    <mergeCell ref="B2:H3"/>
    <mergeCell ref="B18:H18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70450-7EAE-4C99-97FD-AA641FCE5589}">
  <dimension ref="A1:I30"/>
  <sheetViews>
    <sheetView topLeftCell="A4" zoomScale="83" zoomScaleNormal="70" workbookViewId="0">
      <selection activeCell="C21" sqref="C21"/>
    </sheetView>
  </sheetViews>
  <sheetFormatPr defaultRowHeight="14.5"/>
  <cols>
    <col min="1" max="1" width="6.54296875" customWidth="1"/>
    <col min="2" max="2" width="19.54296875" customWidth="1"/>
    <col min="3" max="3" width="26.81640625" customWidth="1"/>
    <col min="4" max="7" width="19.54296875" customWidth="1"/>
  </cols>
  <sheetData>
    <row r="1" spans="1:9">
      <c r="A1" s="198" t="s">
        <v>74</v>
      </c>
      <c r="B1" s="199"/>
      <c r="C1" s="199"/>
      <c r="D1" s="199"/>
      <c r="E1" s="199"/>
      <c r="F1" s="199"/>
      <c r="G1" s="199"/>
    </row>
    <row r="2" spans="1:9">
      <c r="A2" s="199"/>
      <c r="B2" s="199"/>
      <c r="C2" s="199"/>
      <c r="D2" s="199"/>
      <c r="E2" s="199"/>
      <c r="F2" s="199"/>
      <c r="G2" s="199"/>
    </row>
    <row r="3" spans="1:9">
      <c r="A3" s="199"/>
      <c r="B3" s="199"/>
      <c r="C3" s="199"/>
      <c r="D3" s="199"/>
      <c r="E3" s="199"/>
      <c r="F3" s="199"/>
      <c r="G3" s="199"/>
    </row>
    <row r="4" spans="1:9">
      <c r="A4" s="4"/>
      <c r="B4" s="4" t="s">
        <v>75</v>
      </c>
      <c r="C4" s="23">
        <v>4100</v>
      </c>
      <c r="D4" s="4"/>
      <c r="E4" s="4"/>
      <c r="F4" s="4"/>
      <c r="G4" s="4"/>
    </row>
    <row r="5" spans="1:9" ht="16.5">
      <c r="A5" s="4" t="s">
        <v>91</v>
      </c>
      <c r="B5" s="16" t="s">
        <v>76</v>
      </c>
      <c r="C5" s="16" t="s">
        <v>26</v>
      </c>
      <c r="D5" s="16" t="s">
        <v>77</v>
      </c>
      <c r="E5" s="16" t="s">
        <v>30</v>
      </c>
      <c r="F5" s="16" t="s">
        <v>31</v>
      </c>
      <c r="G5" s="16" t="s">
        <v>32</v>
      </c>
    </row>
    <row r="6" spans="1:9">
      <c r="A6" s="4">
        <v>1</v>
      </c>
      <c r="B6" s="4" t="s">
        <v>82</v>
      </c>
      <c r="C6" s="17">
        <v>42770</v>
      </c>
      <c r="D6" s="18" t="s">
        <v>84</v>
      </c>
      <c r="E6" s="19">
        <v>15</v>
      </c>
      <c r="F6" s="12">
        <v>15</v>
      </c>
      <c r="G6" s="12">
        <f>(E6*F6)</f>
        <v>225</v>
      </c>
    </row>
    <row r="7" spans="1:9">
      <c r="A7" s="4">
        <v>2</v>
      </c>
      <c r="B7" s="4" t="s">
        <v>78</v>
      </c>
      <c r="C7" s="20">
        <v>42774</v>
      </c>
      <c r="D7" s="18" t="s">
        <v>85</v>
      </c>
      <c r="E7" s="19">
        <v>85</v>
      </c>
      <c r="F7" s="12">
        <v>16</v>
      </c>
      <c r="G7" s="12">
        <f t="shared" ref="G7:G17" si="0">(E7*F7)</f>
        <v>1360</v>
      </c>
    </row>
    <row r="8" spans="1:9">
      <c r="A8" s="4">
        <v>3</v>
      </c>
      <c r="B8" s="4" t="s">
        <v>79</v>
      </c>
      <c r="C8" s="20">
        <v>42777</v>
      </c>
      <c r="D8" s="18" t="s">
        <v>86</v>
      </c>
      <c r="E8" s="19">
        <v>62</v>
      </c>
      <c r="F8" s="12">
        <v>20</v>
      </c>
      <c r="G8" s="12">
        <f t="shared" si="0"/>
        <v>1240</v>
      </c>
    </row>
    <row r="9" spans="1:9">
      <c r="A9" s="4">
        <v>4</v>
      </c>
      <c r="B9" s="4" t="s">
        <v>80</v>
      </c>
      <c r="C9" s="20">
        <v>42777</v>
      </c>
      <c r="D9" s="18" t="s">
        <v>86</v>
      </c>
      <c r="E9" s="19">
        <v>32</v>
      </c>
      <c r="F9" s="12">
        <v>32</v>
      </c>
      <c r="G9" s="12">
        <f t="shared" si="0"/>
        <v>1024</v>
      </c>
    </row>
    <row r="10" spans="1:9">
      <c r="A10" s="4">
        <v>5</v>
      </c>
      <c r="B10" s="4" t="s">
        <v>81</v>
      </c>
      <c r="C10" s="20">
        <v>42786</v>
      </c>
      <c r="D10" s="18" t="s">
        <v>87</v>
      </c>
      <c r="E10" s="19">
        <v>45</v>
      </c>
      <c r="F10" s="12">
        <v>45</v>
      </c>
      <c r="G10" s="12">
        <f t="shared" si="0"/>
        <v>2025</v>
      </c>
    </row>
    <row r="11" spans="1:9">
      <c r="A11" s="4">
        <v>6</v>
      </c>
      <c r="B11" s="4" t="s">
        <v>82</v>
      </c>
      <c r="C11" s="20">
        <v>42791</v>
      </c>
      <c r="D11" s="18" t="s">
        <v>86</v>
      </c>
      <c r="E11" s="19">
        <v>62</v>
      </c>
      <c r="F11" s="12">
        <v>32</v>
      </c>
      <c r="G11" s="12">
        <f t="shared" si="0"/>
        <v>1984</v>
      </c>
    </row>
    <row r="12" spans="1:9">
      <c r="A12" s="4">
        <v>7</v>
      </c>
      <c r="B12" s="4" t="s">
        <v>78</v>
      </c>
      <c r="C12" s="20">
        <v>42792</v>
      </c>
      <c r="D12" s="18" t="s">
        <v>85</v>
      </c>
      <c r="E12" s="19">
        <v>61</v>
      </c>
      <c r="F12" s="12">
        <v>16</v>
      </c>
      <c r="G12" s="12">
        <f t="shared" si="0"/>
        <v>976</v>
      </c>
    </row>
    <row r="13" spans="1:9">
      <c r="A13" s="4">
        <v>8</v>
      </c>
      <c r="B13" s="4" t="s">
        <v>78</v>
      </c>
      <c r="C13" s="20">
        <v>42794</v>
      </c>
      <c r="D13" s="18" t="s">
        <v>88</v>
      </c>
      <c r="E13" s="19">
        <v>96</v>
      </c>
      <c r="F13" s="12">
        <v>12</v>
      </c>
      <c r="G13" s="12">
        <f t="shared" si="0"/>
        <v>1152</v>
      </c>
    </row>
    <row r="14" spans="1:9">
      <c r="A14" s="4">
        <v>9</v>
      </c>
      <c r="B14" s="4" t="s">
        <v>79</v>
      </c>
      <c r="C14" s="20">
        <v>42795</v>
      </c>
      <c r="D14" s="18" t="s">
        <v>88</v>
      </c>
      <c r="E14" s="19">
        <v>31</v>
      </c>
      <c r="F14" s="12">
        <v>12</v>
      </c>
      <c r="G14" s="12">
        <f t="shared" si="0"/>
        <v>372</v>
      </c>
    </row>
    <row r="15" spans="1:9">
      <c r="A15" s="4">
        <v>10</v>
      </c>
      <c r="B15" s="4" t="s">
        <v>80</v>
      </c>
      <c r="C15" s="20">
        <v>42797</v>
      </c>
      <c r="D15" s="18" t="s">
        <v>84</v>
      </c>
      <c r="E15" s="19">
        <v>32</v>
      </c>
      <c r="F15" s="12">
        <v>15</v>
      </c>
      <c r="G15" s="12">
        <f t="shared" si="0"/>
        <v>480</v>
      </c>
      <c r="I15" s="22"/>
    </row>
    <row r="16" spans="1:9">
      <c r="A16" s="4">
        <v>11</v>
      </c>
      <c r="B16" s="4" t="s">
        <v>81</v>
      </c>
      <c r="C16" s="20">
        <v>42798</v>
      </c>
      <c r="D16" s="18" t="s">
        <v>86</v>
      </c>
      <c r="E16" s="19">
        <v>16</v>
      </c>
      <c r="F16" s="12">
        <v>20</v>
      </c>
      <c r="G16" s="12">
        <f t="shared" si="0"/>
        <v>320</v>
      </c>
    </row>
    <row r="17" spans="1:7">
      <c r="A17" s="4">
        <v>12</v>
      </c>
      <c r="B17" s="4" t="s">
        <v>83</v>
      </c>
      <c r="C17" s="20">
        <v>42804</v>
      </c>
      <c r="D17" s="18" t="s">
        <v>85</v>
      </c>
      <c r="E17" s="19">
        <v>14</v>
      </c>
      <c r="F17" s="12">
        <v>16</v>
      </c>
      <c r="G17" s="12">
        <f t="shared" si="0"/>
        <v>224</v>
      </c>
    </row>
    <row r="18" spans="1:7">
      <c r="A18" s="3"/>
      <c r="B18" s="3"/>
      <c r="C18" s="3"/>
      <c r="D18" s="3"/>
      <c r="E18" s="3"/>
      <c r="F18" s="4" t="s">
        <v>89</v>
      </c>
      <c r="G18" s="12">
        <f>SUM(G6:G17)</f>
        <v>11382</v>
      </c>
    </row>
    <row r="19" spans="1:7">
      <c r="A19" s="3"/>
      <c r="C19" s="3"/>
      <c r="D19" s="3"/>
      <c r="E19" s="3"/>
      <c r="F19" s="3"/>
      <c r="G19" s="3"/>
    </row>
    <row r="20" spans="1:7">
      <c r="A20" s="3"/>
      <c r="B20" s="4" t="s">
        <v>92</v>
      </c>
      <c r="C20" s="4" t="s">
        <v>90</v>
      </c>
      <c r="D20" s="4" t="s">
        <v>93</v>
      </c>
      <c r="E20" s="3"/>
      <c r="F20" s="3"/>
      <c r="G20" s="3"/>
    </row>
    <row r="21" spans="1:7">
      <c r="B21" s="21" t="s">
        <v>82</v>
      </c>
      <c r="C21" s="12">
        <f>SUMIF($B$6:$B$17,B21,$G$6:$G$17)</f>
        <v>2209</v>
      </c>
      <c r="D21" s="24">
        <f>C21*C4</f>
        <v>9056900</v>
      </c>
    </row>
    <row r="22" spans="1:7">
      <c r="B22" s="21" t="s">
        <v>78</v>
      </c>
      <c r="C22" s="12">
        <f>SUMIF($B$6:$B$17,B22,G6:G17)</f>
        <v>3488</v>
      </c>
      <c r="D22" s="24">
        <f>C22*C4</f>
        <v>14300800</v>
      </c>
    </row>
    <row r="23" spans="1:7">
      <c r="B23" s="21" t="s">
        <v>94</v>
      </c>
      <c r="C23" s="12">
        <f>SUMIF($B$6:$B$17,B23,G6:G17)</f>
        <v>1612</v>
      </c>
      <c r="D23" s="24">
        <f>C23*C4</f>
        <v>6609200</v>
      </c>
    </row>
    <row r="24" spans="1:7">
      <c r="B24" s="21" t="s">
        <v>80</v>
      </c>
      <c r="C24" s="12">
        <f>SUMIF($B$6:$B$17,B24,G6:G17)</f>
        <v>1504</v>
      </c>
      <c r="D24" s="24">
        <f>C24*C4</f>
        <v>6166400</v>
      </c>
    </row>
    <row r="26" spans="1:7" ht="16.5">
      <c r="B26" s="4" t="s">
        <v>95</v>
      </c>
      <c r="C26" s="4" t="s">
        <v>90</v>
      </c>
      <c r="D26" s="4" t="s">
        <v>96</v>
      </c>
    </row>
    <row r="27" spans="1:7">
      <c r="B27" s="4" t="s">
        <v>84</v>
      </c>
      <c r="C27" s="25">
        <f>SUMIF($D$6:$D$17,B27,G6:G17)</f>
        <v>705</v>
      </c>
      <c r="D27" s="16">
        <f>COUNTIF(D6:D17,B27)</f>
        <v>2</v>
      </c>
    </row>
    <row r="28" spans="1:7">
      <c r="B28" s="4" t="s">
        <v>86</v>
      </c>
      <c r="C28" s="25">
        <f>SUMIF($D$6:$D$17,B28,G6:G17)</f>
        <v>4568</v>
      </c>
      <c r="D28" s="16">
        <f>COUNTIF(D6:D17,B28)</f>
        <v>4</v>
      </c>
    </row>
    <row r="29" spans="1:7">
      <c r="B29" s="4" t="s">
        <v>85</v>
      </c>
      <c r="C29" s="25">
        <f>SUMIF($D$6:$D$17,B29,G6:G17)</f>
        <v>2560</v>
      </c>
      <c r="D29" s="16">
        <f>COUNTIF(D6:D17,B29)</f>
        <v>3</v>
      </c>
    </row>
    <row r="30" spans="1:7">
      <c r="B30" s="4" t="s">
        <v>87</v>
      </c>
      <c r="C30" s="25">
        <f>SUMIF($D$6:$D$17,B30,G6:G17)</f>
        <v>2025</v>
      </c>
      <c r="D30" s="16">
        <f>COUNTIF(D6:D17,B30)</f>
        <v>1</v>
      </c>
    </row>
  </sheetData>
  <mergeCells count="1">
    <mergeCell ref="A1:G3"/>
  </mergeCells>
  <pageMargins left="0.7" right="0.7" top="0.75" bottom="0.75" header="0.3" footer="0.3"/>
  <pageSetup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17EB5-0074-4BDB-9268-EE5B3867C679}">
  <dimension ref="A1:E7"/>
  <sheetViews>
    <sheetView topLeftCell="A17" zoomScale="92" workbookViewId="0">
      <selection activeCell="X35" sqref="X35"/>
    </sheetView>
  </sheetViews>
  <sheetFormatPr defaultRowHeight="14.5"/>
  <cols>
    <col min="1" max="5" width="11.1796875" customWidth="1"/>
  </cols>
  <sheetData>
    <row r="1" spans="1:5">
      <c r="D1" s="3" t="s">
        <v>97</v>
      </c>
    </row>
    <row r="2" spans="1:5">
      <c r="D2" s="3" t="s">
        <v>98</v>
      </c>
    </row>
    <row r="3" spans="1:5">
      <c r="A3" s="26"/>
      <c r="B3" s="26">
        <v>2014</v>
      </c>
      <c r="C3" s="26">
        <v>2015</v>
      </c>
      <c r="D3" s="26">
        <v>2016</v>
      </c>
      <c r="E3" s="26">
        <v>2017</v>
      </c>
    </row>
    <row r="4" spans="1:5">
      <c r="A4" s="26" t="s">
        <v>99</v>
      </c>
      <c r="B4" s="26">
        <v>1100</v>
      </c>
      <c r="C4" s="26">
        <v>1000</v>
      </c>
      <c r="D4" s="26">
        <v>1030</v>
      </c>
      <c r="E4" s="26">
        <v>1010</v>
      </c>
    </row>
    <row r="5" spans="1:5">
      <c r="A5" s="26" t="s">
        <v>100</v>
      </c>
      <c r="B5" s="26">
        <v>995</v>
      </c>
      <c r="C5" s="26">
        <v>1500</v>
      </c>
      <c r="D5" s="26">
        <v>1070</v>
      </c>
      <c r="E5" s="26">
        <v>1150</v>
      </c>
    </row>
    <row r="6" spans="1:5">
      <c r="A6" s="26" t="s">
        <v>101</v>
      </c>
      <c r="B6" s="26">
        <v>860</v>
      </c>
      <c r="C6" s="26">
        <v>750</v>
      </c>
      <c r="D6" s="26">
        <v>890</v>
      </c>
      <c r="E6" s="26">
        <v>1000</v>
      </c>
    </row>
    <row r="7" spans="1:5">
      <c r="A7" s="26" t="s">
        <v>102</v>
      </c>
      <c r="B7" s="26">
        <v>1250</v>
      </c>
      <c r="C7" s="26">
        <v>1120</v>
      </c>
      <c r="D7" s="26">
        <v>1000</v>
      </c>
      <c r="E7" s="26">
        <v>950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6E88-7718-4C6E-AE89-49059DF56EDC}">
  <dimension ref="A1:G27"/>
  <sheetViews>
    <sheetView topLeftCell="A12" zoomScale="113" zoomScaleNormal="56" workbookViewId="0">
      <selection activeCell="C21" sqref="C21"/>
    </sheetView>
  </sheetViews>
  <sheetFormatPr defaultRowHeight="14.5"/>
  <cols>
    <col min="1" max="1" width="7.54296875" style="2" customWidth="1"/>
    <col min="2" max="2" width="13.1796875" style="2" customWidth="1"/>
    <col min="3" max="3" width="11.1796875" style="2" customWidth="1"/>
    <col min="4" max="5" width="13.1796875" style="2" customWidth="1"/>
    <col min="6" max="6" width="27.36328125" style="2" customWidth="1"/>
  </cols>
  <sheetData>
    <row r="1" spans="1:7" ht="23">
      <c r="D1" s="27" t="s">
        <v>109</v>
      </c>
    </row>
    <row r="2" spans="1:7" ht="20.149999999999999" customHeight="1">
      <c r="D2" s="27" t="s">
        <v>110</v>
      </c>
    </row>
    <row r="3" spans="1:7">
      <c r="A3" s="28" t="s">
        <v>103</v>
      </c>
      <c r="B3" s="28" t="s">
        <v>104</v>
      </c>
      <c r="C3" s="28" t="s">
        <v>105</v>
      </c>
      <c r="D3" s="28" t="s">
        <v>106</v>
      </c>
      <c r="E3" s="28" t="s">
        <v>107</v>
      </c>
      <c r="F3" s="28" t="s">
        <v>108</v>
      </c>
    </row>
    <row r="4" spans="1:7" ht="23">
      <c r="A4" s="28">
        <v>1</v>
      </c>
      <c r="B4" s="29" t="s">
        <v>111</v>
      </c>
      <c r="C4" s="30">
        <v>20</v>
      </c>
      <c r="D4" s="33">
        <v>40000</v>
      </c>
      <c r="E4" s="31">
        <v>0.06</v>
      </c>
      <c r="F4" s="33">
        <f>C4*D4-(C4*D4*E4)</f>
        <v>752000</v>
      </c>
      <c r="G4" s="32"/>
    </row>
    <row r="5" spans="1:7" ht="23">
      <c r="A5" s="28">
        <v>2</v>
      </c>
      <c r="B5" s="29" t="s">
        <v>112</v>
      </c>
      <c r="C5" s="30">
        <v>30</v>
      </c>
      <c r="D5" s="33">
        <v>40000</v>
      </c>
      <c r="E5" s="31">
        <v>0.03</v>
      </c>
      <c r="F5" s="33">
        <f>C5*D5-(C5*D5*E5)</f>
        <v>1164000</v>
      </c>
    </row>
    <row r="6" spans="1:7" ht="23">
      <c r="A6" s="28">
        <v>3</v>
      </c>
      <c r="B6" s="29" t="s">
        <v>113</v>
      </c>
      <c r="C6" s="30">
        <v>25</v>
      </c>
      <c r="D6" s="33">
        <v>42000</v>
      </c>
      <c r="E6" s="31">
        <v>0.05</v>
      </c>
      <c r="F6" s="33">
        <f>C6*D6-(C6*D6*E6)</f>
        <v>997500</v>
      </c>
    </row>
    <row r="7" spans="1:7" ht="23">
      <c r="A7" s="28">
        <v>4</v>
      </c>
      <c r="B7" s="29" t="s">
        <v>114</v>
      </c>
      <c r="C7" s="30">
        <v>10</v>
      </c>
      <c r="D7" s="33">
        <v>48000</v>
      </c>
      <c r="E7" s="31">
        <v>0.04</v>
      </c>
      <c r="F7" s="33">
        <f t="shared" ref="F7:F17" si="0">C7*D7-(C7*D7*E7)</f>
        <v>460800</v>
      </c>
    </row>
    <row r="8" spans="1:7" ht="23">
      <c r="A8" s="28">
        <v>5</v>
      </c>
      <c r="B8" s="29" t="s">
        <v>115</v>
      </c>
      <c r="C8" s="30">
        <v>11</v>
      </c>
      <c r="D8" s="33">
        <v>34000</v>
      </c>
      <c r="E8" s="31">
        <v>0.03</v>
      </c>
      <c r="F8" s="33">
        <f t="shared" si="0"/>
        <v>362780</v>
      </c>
    </row>
    <row r="9" spans="1:7" ht="23">
      <c r="A9" s="28">
        <v>6</v>
      </c>
      <c r="B9" s="29" t="s">
        <v>116</v>
      </c>
      <c r="C9" s="30">
        <v>9</v>
      </c>
      <c r="D9" s="33">
        <v>35000</v>
      </c>
      <c r="E9" s="31">
        <v>0.04</v>
      </c>
      <c r="F9" s="33">
        <f t="shared" si="0"/>
        <v>302400</v>
      </c>
    </row>
    <row r="10" spans="1:7" ht="23">
      <c r="A10" s="28">
        <v>7</v>
      </c>
      <c r="B10" s="29" t="s">
        <v>117</v>
      </c>
      <c r="C10" s="30">
        <v>8</v>
      </c>
      <c r="D10" s="33">
        <v>60000</v>
      </c>
      <c r="E10" s="31">
        <v>5.0000000000000001E-3</v>
      </c>
      <c r="F10" s="33">
        <f t="shared" si="0"/>
        <v>477600</v>
      </c>
    </row>
    <row r="11" spans="1:7" ht="23">
      <c r="A11" s="28">
        <v>8</v>
      </c>
      <c r="B11" s="29" t="s">
        <v>118</v>
      </c>
      <c r="C11" s="30">
        <v>22</v>
      </c>
      <c r="D11" s="33">
        <v>50000</v>
      </c>
      <c r="E11" s="31">
        <v>0.05</v>
      </c>
      <c r="F11" s="33">
        <f t="shared" si="0"/>
        <v>1045000</v>
      </c>
    </row>
    <row r="12" spans="1:7" ht="23">
      <c r="A12" s="28">
        <v>9</v>
      </c>
      <c r="B12" s="29" t="s">
        <v>119</v>
      </c>
      <c r="C12" s="30">
        <v>14</v>
      </c>
      <c r="D12" s="33">
        <v>33000</v>
      </c>
      <c r="E12" s="31">
        <v>0.1</v>
      </c>
      <c r="F12" s="33">
        <f t="shared" si="0"/>
        <v>415800</v>
      </c>
    </row>
    <row r="13" spans="1:7" ht="23">
      <c r="A13" s="28">
        <v>10</v>
      </c>
      <c r="B13" s="29" t="s">
        <v>120</v>
      </c>
      <c r="C13" s="30">
        <v>33</v>
      </c>
      <c r="D13" s="33">
        <v>30000</v>
      </c>
      <c r="E13" s="31">
        <v>7.0000000000000007E-2</v>
      </c>
      <c r="F13" s="33">
        <f t="shared" si="0"/>
        <v>920700</v>
      </c>
    </row>
    <row r="14" spans="1:7" ht="23">
      <c r="A14" s="28">
        <v>11</v>
      </c>
      <c r="B14" s="29" t="s">
        <v>121</v>
      </c>
      <c r="C14" s="30">
        <v>22</v>
      </c>
      <c r="D14" s="33">
        <v>58000</v>
      </c>
      <c r="E14" s="31">
        <v>6.5000000000000002E-2</v>
      </c>
      <c r="F14" s="33">
        <f t="shared" si="0"/>
        <v>1193060</v>
      </c>
    </row>
    <row r="15" spans="1:7" ht="23">
      <c r="A15" s="28">
        <v>12</v>
      </c>
      <c r="B15" s="29" t="s">
        <v>122</v>
      </c>
      <c r="C15" s="30">
        <v>12</v>
      </c>
      <c r="D15" s="33">
        <v>41000</v>
      </c>
      <c r="E15" s="31">
        <v>0.03</v>
      </c>
      <c r="F15" s="33">
        <f t="shared" si="0"/>
        <v>477240</v>
      </c>
    </row>
    <row r="16" spans="1:7" ht="23">
      <c r="A16" s="28">
        <v>13</v>
      </c>
      <c r="B16" s="29" t="s">
        <v>123</v>
      </c>
      <c r="C16" s="30">
        <v>5</v>
      </c>
      <c r="D16" s="33">
        <v>39000</v>
      </c>
      <c r="E16" s="31">
        <v>0.08</v>
      </c>
      <c r="F16" s="33">
        <f t="shared" si="0"/>
        <v>179400</v>
      </c>
    </row>
    <row r="17" spans="1:6" ht="23">
      <c r="A17" s="28">
        <v>14</v>
      </c>
      <c r="B17" s="29" t="s">
        <v>124</v>
      </c>
      <c r="C17" s="30">
        <v>16</v>
      </c>
      <c r="D17" s="33">
        <v>41000</v>
      </c>
      <c r="E17" s="31">
        <v>2.5000000000000001E-2</v>
      </c>
      <c r="F17" s="33">
        <f t="shared" si="0"/>
        <v>639600</v>
      </c>
    </row>
    <row r="20" spans="1:6" ht="21.65" customHeight="1">
      <c r="A20" s="28" t="s">
        <v>103</v>
      </c>
      <c r="B20" s="28" t="s">
        <v>104</v>
      </c>
      <c r="C20" s="28" t="s">
        <v>105</v>
      </c>
      <c r="D20" s="28" t="s">
        <v>106</v>
      </c>
      <c r="E20" s="28" t="s">
        <v>107</v>
      </c>
      <c r="F20" s="28" t="s">
        <v>108</v>
      </c>
    </row>
    <row r="21" spans="1:6" ht="21.65" customHeight="1">
      <c r="A21" s="28">
        <v>10</v>
      </c>
      <c r="B21" s="28" t="str">
        <f>LOOKUP(A21,$A$4:$A$17,B4:B17)</f>
        <v>សូដា</v>
      </c>
      <c r="C21" s="30">
        <f>LOOKUP(A21,$A$4:$A$17,C4:C17)</f>
        <v>33</v>
      </c>
      <c r="D21" s="34">
        <f>LOOKUP(A21,$A$4:$A$17,D4:D17)</f>
        <v>30000</v>
      </c>
      <c r="E21" s="36">
        <f>LOOKUP(A21,$A$4:$A$17,$E$4:$E$17)</f>
        <v>7.0000000000000007E-2</v>
      </c>
      <c r="F21" s="33">
        <f>LOOKUP(A21,$A$4:$A$17,$F$4:$F$17)</f>
        <v>920700</v>
      </c>
    </row>
    <row r="22" spans="1:6" ht="21.65" customHeight="1">
      <c r="A22" s="28">
        <v>14</v>
      </c>
      <c r="B22" s="28" t="str">
        <f>LOOKUP(A22,$A$4:$A$17,B4:B17)</f>
        <v>ប៉ិបស៊ី</v>
      </c>
      <c r="C22" s="30">
        <f>LOOKUP(A22,$A$4:$A$17,C4:C17)</f>
        <v>16</v>
      </c>
      <c r="D22" s="34">
        <f ca="1">LOOKUP(A22,$A$4:$A$17,D4:D18)</f>
        <v>41000</v>
      </c>
      <c r="E22" s="36">
        <f t="shared" ref="E22:E27" si="1">LOOKUP(A22,$A$4:$A$17,$E$4:$E$17)</f>
        <v>2.5000000000000001E-2</v>
      </c>
      <c r="F22" s="33">
        <f t="shared" ref="F22:F27" si="2">LOOKUP(A22,$A$4:$A$17,$F$4:$F$17)</f>
        <v>639600</v>
      </c>
    </row>
    <row r="23" spans="1:6" ht="21.65" customHeight="1">
      <c r="A23" s="28">
        <v>1</v>
      </c>
      <c r="B23" s="28" t="str">
        <f>LOOKUP(A23,$A$4:$A$17,B4:B17)</f>
        <v>សាំម៉ូរ៉ាយ</v>
      </c>
      <c r="C23" s="30">
        <f ca="1">LOOKUP(A23,$A$4:$A$17,C4:C18)</f>
        <v>20</v>
      </c>
      <c r="D23" s="34">
        <f ca="1">LOOKUP(A23,$A$4:$A$17,D4:D19)</f>
        <v>40000</v>
      </c>
      <c r="E23" s="36">
        <f t="shared" si="1"/>
        <v>0.06</v>
      </c>
      <c r="F23" s="33">
        <f t="shared" si="2"/>
        <v>752000</v>
      </c>
    </row>
    <row r="24" spans="1:6" ht="21.65" customHeight="1">
      <c r="A24" s="28">
        <v>4</v>
      </c>
      <c r="B24" s="28" t="str">
        <f>LOOKUP(A24,$A$4:$A$17,B4:B17)</f>
        <v>ខារ៉ាបៅ</v>
      </c>
      <c r="C24" s="30">
        <f ca="1">LOOKUP(A24,$A$4:$A$17,C4:C19)</f>
        <v>10</v>
      </c>
      <c r="D24" s="34">
        <f>LOOKUP(A24,$A$4:$A$17,D4:D17)</f>
        <v>48000</v>
      </c>
      <c r="E24" s="36">
        <f t="shared" si="1"/>
        <v>0.04</v>
      </c>
      <c r="F24" s="33">
        <f t="shared" si="2"/>
        <v>460800</v>
      </c>
    </row>
    <row r="25" spans="1:6" ht="21.65" customHeight="1">
      <c r="A25" s="28">
        <v>11</v>
      </c>
      <c r="B25" s="28" t="str">
        <f>LOOKUP(A25,$A$4:$A$17,B4:B17)</f>
        <v>ប៉ូការីស្វេត</v>
      </c>
      <c r="C25" s="30">
        <f>LOOKUP(A25,$A$4:$A$17,C4:C17)</f>
        <v>22</v>
      </c>
      <c r="D25" s="34">
        <f>LOOKUP(A25,$A$4:$A$17,D4:D17)</f>
        <v>58000</v>
      </c>
      <c r="E25" s="36">
        <f t="shared" si="1"/>
        <v>6.5000000000000002E-2</v>
      </c>
      <c r="F25" s="33">
        <f t="shared" si="2"/>
        <v>1193060</v>
      </c>
    </row>
    <row r="26" spans="1:6" ht="21.65" customHeight="1">
      <c r="A26" s="28">
        <v>7</v>
      </c>
      <c r="B26" s="28" t="str">
        <f>LOOKUP(A26,$A$4:$A$17,B4:B17)</f>
        <v>បាកាស</v>
      </c>
      <c r="C26" s="30">
        <f>LOOKUP(A26,$A$4:$A$17,C4:C17)</f>
        <v>8</v>
      </c>
      <c r="D26" s="34">
        <f t="shared" ref="D26" si="3">LOOKUP(A26,$A$4:$A$17,D9:D22)</f>
        <v>41000</v>
      </c>
      <c r="E26" s="36">
        <f t="shared" si="1"/>
        <v>5.0000000000000001E-3</v>
      </c>
      <c r="F26" s="33">
        <f t="shared" si="2"/>
        <v>477600</v>
      </c>
    </row>
    <row r="27" spans="1:6" ht="21.65" customHeight="1">
      <c r="A27" s="28">
        <v>5</v>
      </c>
      <c r="B27" s="28" t="str">
        <f>LOOKUP(A27,$A$4:$A$17,B4:B17)</f>
        <v>ហ្វាន់តា</v>
      </c>
      <c r="C27" s="30">
        <f>LOOKUP(A27,$A$4:$A$17,C4:C17)</f>
        <v>11</v>
      </c>
      <c r="D27" s="34">
        <f>LOOKUP(A27,$A$4:$A$17,D4:D17)</f>
        <v>34000</v>
      </c>
      <c r="E27" s="36">
        <f t="shared" si="1"/>
        <v>0.03</v>
      </c>
      <c r="F27" s="33">
        <f t="shared" si="2"/>
        <v>362780</v>
      </c>
    </row>
  </sheetData>
  <pageMargins left="0.7" right="0.7" top="0.75" bottom="0.75" header="0.3" footer="0.3"/>
  <pageSetup orientation="portrait" horizontalDpi="1200" verticalDpi="1200" r:id="rId1"/>
  <ignoredErrors>
    <ignoredError sqref="D2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2EC91-31EF-4BFB-AD6B-7BA21C9ED4BF}">
  <dimension ref="A1:G60"/>
  <sheetViews>
    <sheetView topLeftCell="A15" zoomScale="83" workbookViewId="0">
      <selection activeCell="D5" sqref="D5:D7"/>
    </sheetView>
  </sheetViews>
  <sheetFormatPr defaultRowHeight="14.5"/>
  <cols>
    <col min="1" max="1" width="8.26953125" style="35" customWidth="1"/>
    <col min="2" max="2" width="13.81640625" style="35" bestFit="1" customWidth="1"/>
    <col min="3" max="3" width="9.54296875" style="35" bestFit="1" customWidth="1"/>
    <col min="4" max="4" width="16.81640625" style="35" bestFit="1" customWidth="1"/>
    <col min="5" max="5" width="14.36328125" style="35" bestFit="1" customWidth="1"/>
    <col min="6" max="6" width="15.81640625" style="35" bestFit="1" customWidth="1"/>
    <col min="7" max="7" width="8.81640625" style="35" bestFit="1" customWidth="1"/>
    <col min="8" max="11" width="8.81640625" bestFit="1" customWidth="1"/>
    <col min="12" max="12" width="14.26953125" bestFit="1" customWidth="1"/>
    <col min="13" max="13" width="9.54296875" bestFit="1" customWidth="1"/>
    <col min="14" max="14" width="8.81640625" bestFit="1" customWidth="1"/>
    <col min="15" max="15" width="12" bestFit="1" customWidth="1"/>
  </cols>
  <sheetData>
    <row r="1" spans="1:7" ht="20.5">
      <c r="C1" s="37"/>
      <c r="D1" s="200" t="s">
        <v>131</v>
      </c>
      <c r="E1" s="201"/>
      <c r="F1" s="37"/>
    </row>
    <row r="2" spans="1:7" ht="15.5">
      <c r="C2" s="202" t="s">
        <v>132</v>
      </c>
      <c r="D2" s="202"/>
      <c r="E2" s="202"/>
      <c r="F2" s="202"/>
    </row>
    <row r="3" spans="1:7">
      <c r="D3" s="203" t="s">
        <v>133</v>
      </c>
      <c r="E3" s="203"/>
    </row>
    <row r="4" spans="1:7">
      <c r="A4" s="16" t="s">
        <v>125</v>
      </c>
      <c r="B4" s="16" t="s">
        <v>126</v>
      </c>
      <c r="C4" s="16" t="s">
        <v>127</v>
      </c>
      <c r="D4" s="16" t="s">
        <v>128</v>
      </c>
      <c r="E4" s="16" t="s">
        <v>129</v>
      </c>
      <c r="F4" s="16" t="s">
        <v>130</v>
      </c>
      <c r="G4" s="16" t="s">
        <v>15</v>
      </c>
    </row>
    <row r="5" spans="1:7" ht="24.65" customHeight="1">
      <c r="A5" s="16">
        <v>1</v>
      </c>
      <c r="B5" s="16" t="s">
        <v>134</v>
      </c>
      <c r="C5" s="16" t="s">
        <v>6</v>
      </c>
      <c r="D5" s="39">
        <v>32126</v>
      </c>
      <c r="E5" s="18" t="s">
        <v>150</v>
      </c>
      <c r="F5" s="18" t="s">
        <v>158</v>
      </c>
      <c r="G5" s="38">
        <v>120</v>
      </c>
    </row>
    <row r="6" spans="1:7" ht="24.65" customHeight="1">
      <c r="A6" s="16">
        <v>2</v>
      </c>
      <c r="B6" s="16" t="s">
        <v>135</v>
      </c>
      <c r="C6" s="16" t="s">
        <v>6</v>
      </c>
      <c r="D6" s="39">
        <v>32459</v>
      </c>
      <c r="E6" s="18" t="s">
        <v>151</v>
      </c>
      <c r="F6" s="18" t="s">
        <v>158</v>
      </c>
      <c r="G6" s="38">
        <v>200</v>
      </c>
    </row>
    <row r="7" spans="1:7" ht="24.65" customHeight="1">
      <c r="A7" s="16">
        <v>3</v>
      </c>
      <c r="B7" s="16" t="s">
        <v>136</v>
      </c>
      <c r="C7" s="16" t="s">
        <v>6</v>
      </c>
      <c r="D7" s="39">
        <v>32126</v>
      </c>
      <c r="E7" s="18" t="s">
        <v>152</v>
      </c>
      <c r="F7" s="18" t="s">
        <v>159</v>
      </c>
      <c r="G7" s="38">
        <v>250</v>
      </c>
    </row>
    <row r="8" spans="1:7" ht="24.65" customHeight="1">
      <c r="A8" s="16">
        <v>4</v>
      </c>
      <c r="B8" s="16" t="s">
        <v>137</v>
      </c>
      <c r="C8" s="16" t="s">
        <v>149</v>
      </c>
      <c r="D8" s="39">
        <v>29859</v>
      </c>
      <c r="E8" s="18" t="s">
        <v>153</v>
      </c>
      <c r="F8" s="18" t="s">
        <v>160</v>
      </c>
      <c r="G8" s="38">
        <v>320</v>
      </c>
    </row>
    <row r="9" spans="1:7" ht="24.65" customHeight="1">
      <c r="A9" s="16">
        <v>5</v>
      </c>
      <c r="B9" s="16" t="s">
        <v>138</v>
      </c>
      <c r="C9" s="16" t="s">
        <v>6</v>
      </c>
      <c r="D9" s="39">
        <v>31111</v>
      </c>
      <c r="E9" s="18" t="s">
        <v>153</v>
      </c>
      <c r="F9" s="18" t="s">
        <v>161</v>
      </c>
      <c r="G9" s="38">
        <v>250</v>
      </c>
    </row>
    <row r="10" spans="1:7" ht="24.65" customHeight="1">
      <c r="A10" s="16">
        <v>6</v>
      </c>
      <c r="B10" s="16" t="s">
        <v>139</v>
      </c>
      <c r="C10" s="16" t="s">
        <v>6</v>
      </c>
      <c r="D10" s="39">
        <v>31537</v>
      </c>
      <c r="E10" s="18" t="s">
        <v>154</v>
      </c>
      <c r="F10" s="18" t="s">
        <v>161</v>
      </c>
      <c r="G10" s="38">
        <v>120</v>
      </c>
    </row>
    <row r="11" spans="1:7" ht="24.65" customHeight="1">
      <c r="A11" s="16">
        <v>7</v>
      </c>
      <c r="B11" s="16" t="s">
        <v>140</v>
      </c>
      <c r="C11" s="16" t="s">
        <v>6</v>
      </c>
      <c r="D11" s="39">
        <v>31393</v>
      </c>
      <c r="E11" s="18" t="s">
        <v>155</v>
      </c>
      <c r="F11" s="18" t="s">
        <v>161</v>
      </c>
      <c r="G11" s="38">
        <v>500</v>
      </c>
    </row>
    <row r="12" spans="1:7" ht="24.65" customHeight="1">
      <c r="A12" s="16">
        <v>8</v>
      </c>
      <c r="B12" s="16" t="s">
        <v>141</v>
      </c>
      <c r="C12" s="16" t="s">
        <v>149</v>
      </c>
      <c r="D12" s="39">
        <v>31937</v>
      </c>
      <c r="E12" s="18" t="s">
        <v>156</v>
      </c>
      <c r="F12" s="18" t="s">
        <v>159</v>
      </c>
      <c r="G12" s="38">
        <v>250</v>
      </c>
    </row>
    <row r="13" spans="1:7" ht="24.65" customHeight="1">
      <c r="A13" s="16">
        <v>9</v>
      </c>
      <c r="B13" s="16" t="s">
        <v>142</v>
      </c>
      <c r="C13" s="16" t="s">
        <v>149</v>
      </c>
      <c r="D13" s="39">
        <v>31393</v>
      </c>
      <c r="E13" s="18" t="s">
        <v>157</v>
      </c>
      <c r="F13" s="18" t="s">
        <v>161</v>
      </c>
      <c r="G13" s="38">
        <v>150</v>
      </c>
    </row>
    <row r="14" spans="1:7" ht="24.65" customHeight="1">
      <c r="A14" s="16">
        <v>10</v>
      </c>
      <c r="B14" s="16" t="s">
        <v>143</v>
      </c>
      <c r="C14" s="16" t="s">
        <v>6</v>
      </c>
      <c r="D14" s="39">
        <v>32096</v>
      </c>
      <c r="E14" s="18" t="s">
        <v>155</v>
      </c>
      <c r="F14" s="18" t="s">
        <v>158</v>
      </c>
      <c r="G14" s="38">
        <v>250</v>
      </c>
    </row>
    <row r="15" spans="1:7" ht="24.65" customHeight="1">
      <c r="A15" s="16">
        <v>11</v>
      </c>
      <c r="B15" s="16" t="s">
        <v>144</v>
      </c>
      <c r="C15" s="16" t="s">
        <v>149</v>
      </c>
      <c r="D15" s="39">
        <v>31537</v>
      </c>
      <c r="E15" s="18" t="s">
        <v>153</v>
      </c>
      <c r="F15" s="18" t="s">
        <v>162</v>
      </c>
      <c r="G15" s="38">
        <v>250</v>
      </c>
    </row>
    <row r="16" spans="1:7" ht="24.65" customHeight="1">
      <c r="A16" s="16">
        <v>12</v>
      </c>
      <c r="B16" s="16" t="s">
        <v>145</v>
      </c>
      <c r="C16" s="16" t="s">
        <v>149</v>
      </c>
      <c r="D16" s="39">
        <v>33816</v>
      </c>
      <c r="E16" s="18" t="s">
        <v>156</v>
      </c>
      <c r="F16" s="18" t="s">
        <v>159</v>
      </c>
      <c r="G16" s="38">
        <v>120</v>
      </c>
    </row>
    <row r="17" spans="1:7" ht="24.65" customHeight="1">
      <c r="A17" s="16">
        <v>13</v>
      </c>
      <c r="B17" s="16" t="s">
        <v>146</v>
      </c>
      <c r="C17" s="16" t="s">
        <v>6</v>
      </c>
      <c r="D17" s="39">
        <v>31111</v>
      </c>
      <c r="E17" s="18" t="s">
        <v>155</v>
      </c>
      <c r="F17" s="18" t="s">
        <v>163</v>
      </c>
      <c r="G17" s="38">
        <v>150</v>
      </c>
    </row>
    <row r="18" spans="1:7" ht="24.65" customHeight="1">
      <c r="A18" s="16">
        <v>14</v>
      </c>
      <c r="B18" s="16" t="s">
        <v>147</v>
      </c>
      <c r="C18" s="16" t="s">
        <v>6</v>
      </c>
      <c r="D18" s="39">
        <v>31393</v>
      </c>
      <c r="E18" s="18" t="s">
        <v>152</v>
      </c>
      <c r="F18" s="18" t="s">
        <v>164</v>
      </c>
      <c r="G18" s="38">
        <v>120</v>
      </c>
    </row>
    <row r="19" spans="1:7" ht="24.65" customHeight="1">
      <c r="A19" s="16">
        <v>15</v>
      </c>
      <c r="B19" s="16" t="s">
        <v>148</v>
      </c>
      <c r="C19" s="16" t="s">
        <v>6</v>
      </c>
      <c r="D19" s="39">
        <v>31537</v>
      </c>
      <c r="E19" s="18" t="s">
        <v>155</v>
      </c>
      <c r="F19" s="18" t="s">
        <v>164</v>
      </c>
      <c r="G19" s="38">
        <v>250</v>
      </c>
    </row>
    <row r="22" spans="1:7">
      <c r="B22" s="40" t="s">
        <v>166</v>
      </c>
      <c r="C22" t="s">
        <v>165</v>
      </c>
      <c r="D22"/>
      <c r="E22" s="40" t="s">
        <v>166</v>
      </c>
      <c r="F22" t="s">
        <v>168</v>
      </c>
      <c r="G22"/>
    </row>
    <row r="23" spans="1:7">
      <c r="B23" s="41" t="s">
        <v>164</v>
      </c>
      <c r="C23" s="42">
        <v>370</v>
      </c>
      <c r="D23"/>
      <c r="E23" s="41" t="s">
        <v>6</v>
      </c>
      <c r="F23" s="42">
        <v>10</v>
      </c>
      <c r="G23"/>
    </row>
    <row r="24" spans="1:7">
      <c r="B24" s="41" t="s">
        <v>163</v>
      </c>
      <c r="C24" s="42">
        <v>150</v>
      </c>
      <c r="D24"/>
      <c r="E24" s="41" t="s">
        <v>149</v>
      </c>
      <c r="F24" s="42">
        <v>5</v>
      </c>
      <c r="G24"/>
    </row>
    <row r="25" spans="1:7">
      <c r="B25" s="41" t="s">
        <v>158</v>
      </c>
      <c r="C25" s="42">
        <v>570</v>
      </c>
      <c r="D25"/>
      <c r="E25" s="41" t="s">
        <v>167</v>
      </c>
      <c r="F25" s="42">
        <v>15</v>
      </c>
      <c r="G25"/>
    </row>
    <row r="26" spans="1:7">
      <c r="B26" s="41" t="s">
        <v>161</v>
      </c>
      <c r="C26" s="42">
        <v>1020</v>
      </c>
      <c r="D26"/>
      <c r="E26"/>
      <c r="F26"/>
      <c r="G26"/>
    </row>
    <row r="27" spans="1:7">
      <c r="B27" s="41" t="s">
        <v>162</v>
      </c>
      <c r="C27" s="42">
        <v>250</v>
      </c>
      <c r="D27"/>
      <c r="E27" s="40" t="s">
        <v>166</v>
      </c>
      <c r="F27" t="s">
        <v>170</v>
      </c>
      <c r="G27"/>
    </row>
    <row r="28" spans="1:7">
      <c r="B28" s="41" t="s">
        <v>160</v>
      </c>
      <c r="C28" s="42">
        <v>320</v>
      </c>
      <c r="D28"/>
      <c r="E28" s="43">
        <v>120</v>
      </c>
      <c r="F28" s="42">
        <v>4</v>
      </c>
      <c r="G28"/>
    </row>
    <row r="29" spans="1:7">
      <c r="B29" s="41" t="s">
        <v>159</v>
      </c>
      <c r="C29" s="42">
        <v>620</v>
      </c>
      <c r="D29"/>
      <c r="E29" s="43">
        <v>150</v>
      </c>
      <c r="F29" s="42">
        <v>2</v>
      </c>
      <c r="G29"/>
    </row>
    <row r="30" spans="1:7">
      <c r="B30" s="41" t="s">
        <v>167</v>
      </c>
      <c r="C30" s="42">
        <v>3300</v>
      </c>
      <c r="D30"/>
      <c r="E30" s="43">
        <v>200</v>
      </c>
      <c r="F30" s="42">
        <v>1</v>
      </c>
      <c r="G30"/>
    </row>
    <row r="31" spans="1:7">
      <c r="B31"/>
      <c r="C31"/>
      <c r="D31"/>
      <c r="E31" s="43">
        <v>250</v>
      </c>
      <c r="F31" s="42">
        <v>6</v>
      </c>
      <c r="G31"/>
    </row>
    <row r="32" spans="1:7">
      <c r="B32" s="40" t="s">
        <v>166</v>
      </c>
      <c r="C32" t="s">
        <v>169</v>
      </c>
      <c r="D32"/>
      <c r="E32" s="43">
        <v>320</v>
      </c>
      <c r="F32" s="42">
        <v>1</v>
      </c>
      <c r="G32"/>
    </row>
    <row r="33" spans="2:7">
      <c r="B33" s="41" t="s">
        <v>155</v>
      </c>
      <c r="C33" s="42">
        <v>4</v>
      </c>
      <c r="D33"/>
      <c r="E33" s="43">
        <v>500</v>
      </c>
      <c r="F33" s="42">
        <v>1</v>
      </c>
      <c r="G33"/>
    </row>
    <row r="34" spans="2:7">
      <c r="B34" s="41" t="s">
        <v>157</v>
      </c>
      <c r="C34" s="42">
        <v>1</v>
      </c>
      <c r="D34"/>
      <c r="E34" s="43" t="s">
        <v>167</v>
      </c>
      <c r="F34" s="42">
        <v>15</v>
      </c>
      <c r="G34"/>
    </row>
    <row r="35" spans="2:7">
      <c r="B35" s="41" t="s">
        <v>153</v>
      </c>
      <c r="C35" s="42">
        <v>3</v>
      </c>
      <c r="D35"/>
      <c r="E35"/>
      <c r="F35"/>
      <c r="G35"/>
    </row>
    <row r="36" spans="2:7">
      <c r="B36" s="41" t="s">
        <v>156</v>
      </c>
      <c r="C36" s="42">
        <v>2</v>
      </c>
      <c r="D36"/>
      <c r="E36" s="40" t="s">
        <v>166</v>
      </c>
      <c r="F36" t="s">
        <v>171</v>
      </c>
      <c r="G36"/>
    </row>
    <row r="37" spans="2:7">
      <c r="B37" s="41" t="s">
        <v>152</v>
      </c>
      <c r="C37" s="42">
        <v>2</v>
      </c>
      <c r="D37"/>
      <c r="E37" s="41" t="s">
        <v>164</v>
      </c>
      <c r="F37" s="42">
        <v>2</v>
      </c>
      <c r="G37"/>
    </row>
    <row r="38" spans="2:7">
      <c r="B38" s="41" t="s">
        <v>150</v>
      </c>
      <c r="C38" s="42">
        <v>1</v>
      </c>
      <c r="D38"/>
      <c r="E38" s="41" t="s">
        <v>163</v>
      </c>
      <c r="F38" s="42">
        <v>1</v>
      </c>
      <c r="G38"/>
    </row>
    <row r="39" spans="2:7">
      <c r="B39" s="41" t="s">
        <v>154</v>
      </c>
      <c r="C39" s="42">
        <v>1</v>
      </c>
      <c r="D39"/>
      <c r="E39" s="41" t="s">
        <v>158</v>
      </c>
      <c r="F39" s="42">
        <v>3</v>
      </c>
      <c r="G39"/>
    </row>
    <row r="40" spans="2:7">
      <c r="B40" s="41" t="s">
        <v>151</v>
      </c>
      <c r="C40" s="42">
        <v>1</v>
      </c>
      <c r="D40"/>
      <c r="E40" s="41" t="s">
        <v>161</v>
      </c>
      <c r="F40" s="42">
        <v>4</v>
      </c>
      <c r="G40"/>
    </row>
    <row r="41" spans="2:7">
      <c r="B41" s="41" t="s">
        <v>167</v>
      </c>
      <c r="C41" s="42">
        <v>15</v>
      </c>
      <c r="D41"/>
      <c r="E41" s="41" t="s">
        <v>162</v>
      </c>
      <c r="F41" s="42">
        <v>1</v>
      </c>
      <c r="G41"/>
    </row>
    <row r="42" spans="2:7">
      <c r="B42"/>
      <c r="C42"/>
      <c r="D42"/>
      <c r="E42" s="41" t="s">
        <v>160</v>
      </c>
      <c r="F42" s="42">
        <v>1</v>
      </c>
      <c r="G42"/>
    </row>
    <row r="43" spans="2:7">
      <c r="B43"/>
      <c r="C43"/>
      <c r="D43"/>
      <c r="E43" s="41" t="s">
        <v>159</v>
      </c>
      <c r="F43" s="42">
        <v>3</v>
      </c>
      <c r="G43"/>
    </row>
    <row r="44" spans="2:7">
      <c r="B44"/>
      <c r="C44"/>
      <c r="D44"/>
      <c r="E44" s="41" t="s">
        <v>167</v>
      </c>
      <c r="F44" s="42">
        <v>15</v>
      </c>
      <c r="G44"/>
    </row>
    <row r="45" spans="2:7">
      <c r="B45"/>
      <c r="C45"/>
      <c r="D45"/>
      <c r="E45"/>
      <c r="F45"/>
      <c r="G45"/>
    </row>
    <row r="46" spans="2:7">
      <c r="B46"/>
      <c r="C46"/>
      <c r="D46"/>
      <c r="E46"/>
      <c r="F46"/>
      <c r="G46"/>
    </row>
    <row r="47" spans="2:7">
      <c r="B47"/>
      <c r="C47"/>
      <c r="D47"/>
      <c r="E47"/>
      <c r="F47"/>
      <c r="G47"/>
    </row>
    <row r="48" spans="2:7">
      <c r="B48"/>
      <c r="C48"/>
      <c r="D48"/>
      <c r="E48"/>
      <c r="F48"/>
      <c r="G48"/>
    </row>
    <row r="49" spans="2:7">
      <c r="B49"/>
      <c r="C49"/>
      <c r="D49"/>
      <c r="E49"/>
      <c r="F49"/>
      <c r="G49"/>
    </row>
    <row r="50" spans="2:7">
      <c r="B50"/>
      <c r="C50"/>
      <c r="D50"/>
      <c r="E50"/>
      <c r="F50"/>
      <c r="G50"/>
    </row>
    <row r="51" spans="2:7">
      <c r="B51"/>
      <c r="C51"/>
      <c r="D51"/>
      <c r="E51"/>
      <c r="F51"/>
      <c r="G51"/>
    </row>
    <row r="52" spans="2:7">
      <c r="B52"/>
      <c r="C52"/>
      <c r="D52"/>
      <c r="E52"/>
      <c r="F52"/>
      <c r="G52"/>
    </row>
    <row r="53" spans="2:7">
      <c r="B53"/>
      <c r="C53"/>
      <c r="D53"/>
      <c r="E53"/>
      <c r="F53"/>
      <c r="G53"/>
    </row>
    <row r="54" spans="2:7">
      <c r="B54"/>
      <c r="C54"/>
      <c r="D54"/>
    </row>
    <row r="55" spans="2:7">
      <c r="B55"/>
      <c r="C55"/>
      <c r="D55"/>
    </row>
    <row r="56" spans="2:7">
      <c r="B56"/>
      <c r="C56"/>
      <c r="D56"/>
    </row>
    <row r="57" spans="2:7">
      <c r="B57"/>
      <c r="C57"/>
      <c r="D57"/>
    </row>
    <row r="58" spans="2:7">
      <c r="B58"/>
      <c r="C58"/>
      <c r="D58"/>
    </row>
    <row r="59" spans="2:7">
      <c r="B59"/>
      <c r="C59"/>
      <c r="D59"/>
    </row>
    <row r="60" spans="2:7">
      <c r="B60"/>
      <c r="C60"/>
      <c r="D60"/>
    </row>
  </sheetData>
  <mergeCells count="3">
    <mergeCell ref="D1:E1"/>
    <mergeCell ref="C2:F2"/>
    <mergeCell ref="D3:E3"/>
  </mergeCells>
  <pageMargins left="0.7" right="0.7" top="0.75" bottom="0.75" header="0.3" footer="0.3"/>
  <pageSetup orientation="portrait" horizontalDpi="1200" verticalDpi="1200"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E853-ADCE-4046-93ED-C14A0A2AB52B}">
  <dimension ref="A1:F45"/>
  <sheetViews>
    <sheetView zoomScale="90" zoomScaleNormal="70" workbookViewId="0">
      <selection activeCell="C19" sqref="C19"/>
    </sheetView>
  </sheetViews>
  <sheetFormatPr defaultRowHeight="14.5"/>
  <cols>
    <col min="1" max="6" width="15" customWidth="1"/>
    <col min="7" max="7" width="13.81640625" bestFit="1" customWidth="1"/>
    <col min="8" max="8" width="15.81640625" bestFit="1" customWidth="1"/>
    <col min="9" max="9" width="9.36328125" bestFit="1" customWidth="1"/>
    <col min="10" max="10" width="6" bestFit="1" customWidth="1"/>
    <col min="11" max="11" width="10.7265625" bestFit="1" customWidth="1"/>
  </cols>
  <sheetData>
    <row r="1" spans="1:6" ht="33">
      <c r="C1" s="208" t="s">
        <v>184</v>
      </c>
      <c r="D1" s="208"/>
      <c r="E1" s="208"/>
    </row>
    <row r="2" spans="1:6" ht="23">
      <c r="A2" s="209" t="s">
        <v>187</v>
      </c>
      <c r="B2" s="210"/>
      <c r="C2" s="210"/>
      <c r="D2" s="210"/>
      <c r="E2" s="210"/>
      <c r="F2" s="210"/>
    </row>
    <row r="3" spans="1:6" ht="23">
      <c r="A3" s="44"/>
      <c r="B3" s="52" t="s">
        <v>95</v>
      </c>
      <c r="C3" s="53" t="s">
        <v>172</v>
      </c>
      <c r="D3" s="52" t="s">
        <v>31</v>
      </c>
      <c r="E3" s="52" t="s">
        <v>173</v>
      </c>
      <c r="F3" s="52" t="s">
        <v>32</v>
      </c>
    </row>
    <row r="4" spans="1:6" ht="23">
      <c r="A4" s="45">
        <v>1</v>
      </c>
      <c r="B4" s="44" t="s">
        <v>174</v>
      </c>
      <c r="C4" s="45">
        <v>7</v>
      </c>
      <c r="D4" s="46">
        <v>150</v>
      </c>
      <c r="E4" s="47">
        <v>0.03</v>
      </c>
      <c r="F4" s="48">
        <f>C4*D4-(C4*D4*E4)</f>
        <v>1018.5</v>
      </c>
    </row>
    <row r="5" spans="1:6" ht="23">
      <c r="A5" s="45">
        <v>2</v>
      </c>
      <c r="B5" s="44" t="s">
        <v>175</v>
      </c>
      <c r="C5" s="45">
        <v>14</v>
      </c>
      <c r="D5" s="46">
        <v>250</v>
      </c>
      <c r="E5" s="47">
        <v>0.04</v>
      </c>
      <c r="F5" s="49">
        <f>C5*D5-(C5*D5*E5)</f>
        <v>3360</v>
      </c>
    </row>
    <row r="6" spans="1:6" ht="23">
      <c r="A6" s="45">
        <v>3</v>
      </c>
      <c r="B6" s="44" t="s">
        <v>176</v>
      </c>
      <c r="C6" s="45">
        <v>45</v>
      </c>
      <c r="D6" s="46">
        <v>500</v>
      </c>
      <c r="E6" s="47">
        <v>0.08</v>
      </c>
      <c r="F6" s="49">
        <f>C6*D6-(C6*D6*E6)</f>
        <v>20700</v>
      </c>
    </row>
    <row r="7" spans="1:6" ht="23">
      <c r="A7" s="45">
        <v>4</v>
      </c>
      <c r="B7" s="44" t="s">
        <v>177</v>
      </c>
      <c r="C7" s="45">
        <v>44</v>
      </c>
      <c r="D7" s="46">
        <v>250</v>
      </c>
      <c r="E7" s="47">
        <v>0.03</v>
      </c>
      <c r="F7" s="49">
        <f t="shared" ref="F7:F13" si="0">C7*D7-(C7*D7*E7)</f>
        <v>10670</v>
      </c>
    </row>
    <row r="8" spans="1:6" ht="23">
      <c r="A8" s="45">
        <v>5</v>
      </c>
      <c r="B8" s="44" t="s">
        <v>178</v>
      </c>
      <c r="C8" s="45">
        <v>23</v>
      </c>
      <c r="D8" s="46">
        <v>400</v>
      </c>
      <c r="E8" s="47">
        <v>0.05</v>
      </c>
      <c r="F8" s="49">
        <f t="shared" si="0"/>
        <v>8740</v>
      </c>
    </row>
    <row r="9" spans="1:6" ht="23">
      <c r="A9" s="45">
        <v>6</v>
      </c>
      <c r="B9" s="44" t="s">
        <v>179</v>
      </c>
      <c r="C9" s="45">
        <v>20</v>
      </c>
      <c r="D9" s="46">
        <v>450</v>
      </c>
      <c r="E9" s="47">
        <v>0.05</v>
      </c>
      <c r="F9" s="49">
        <f t="shared" si="0"/>
        <v>8550</v>
      </c>
    </row>
    <row r="10" spans="1:6" ht="23">
      <c r="A10" s="45">
        <v>7</v>
      </c>
      <c r="B10" s="44" t="s">
        <v>180</v>
      </c>
      <c r="C10" s="45">
        <v>40</v>
      </c>
      <c r="D10" s="46">
        <v>350</v>
      </c>
      <c r="E10" s="50">
        <v>5.0000000000000001E-3</v>
      </c>
      <c r="F10" s="49">
        <f t="shared" si="0"/>
        <v>13930</v>
      </c>
    </row>
    <row r="11" spans="1:6" ht="23">
      <c r="A11" s="45">
        <v>8</v>
      </c>
      <c r="B11" s="44" t="s">
        <v>181</v>
      </c>
      <c r="C11" s="45">
        <v>55</v>
      </c>
      <c r="D11" s="46">
        <v>250</v>
      </c>
      <c r="E11" s="47">
        <v>0.04</v>
      </c>
      <c r="F11" s="49">
        <f t="shared" si="0"/>
        <v>13200</v>
      </c>
    </row>
    <row r="12" spans="1:6" ht="23">
      <c r="A12" s="45">
        <v>9</v>
      </c>
      <c r="B12" s="44" t="s">
        <v>182</v>
      </c>
      <c r="C12" s="45">
        <v>10</v>
      </c>
      <c r="D12" s="46">
        <v>500</v>
      </c>
      <c r="E12" s="50">
        <v>4.0000000000000001E-3</v>
      </c>
      <c r="F12" s="49">
        <f t="shared" si="0"/>
        <v>4980</v>
      </c>
    </row>
    <row r="13" spans="1:6" ht="23">
      <c r="A13" s="45">
        <v>10</v>
      </c>
      <c r="B13" s="44" t="s">
        <v>183</v>
      </c>
      <c r="C13" s="45">
        <v>45</v>
      </c>
      <c r="D13" s="46">
        <v>450</v>
      </c>
      <c r="E13" s="47">
        <v>0.08</v>
      </c>
      <c r="F13" s="49">
        <f t="shared" si="0"/>
        <v>18630</v>
      </c>
    </row>
    <row r="14" spans="1:6" ht="23">
      <c r="C14" s="51" t="s">
        <v>185</v>
      </c>
      <c r="D14" s="211" t="s">
        <v>186</v>
      </c>
      <c r="E14" s="212"/>
    </row>
    <row r="15" spans="1:6" ht="23.15" customHeight="1">
      <c r="A15" s="206" t="s">
        <v>191</v>
      </c>
      <c r="B15" s="206"/>
      <c r="C15" s="206"/>
      <c r="D15" s="206"/>
      <c r="E15" s="206"/>
      <c r="F15" s="206"/>
    </row>
    <row r="16" spans="1:6">
      <c r="A16" s="207"/>
      <c r="B16" s="207"/>
      <c r="C16" s="207"/>
      <c r="D16" s="207"/>
      <c r="E16" s="207"/>
      <c r="F16" s="207"/>
    </row>
    <row r="17" spans="1:6" ht="23">
      <c r="A17" s="44"/>
      <c r="B17" s="56" t="s">
        <v>95</v>
      </c>
      <c r="C17" s="56" t="s">
        <v>172</v>
      </c>
      <c r="D17" s="56" t="s">
        <v>31</v>
      </c>
      <c r="E17" s="56" t="s">
        <v>173</v>
      </c>
      <c r="F17" s="56" t="s">
        <v>32</v>
      </c>
    </row>
    <row r="18" spans="1:6" ht="23">
      <c r="A18" s="45">
        <v>5</v>
      </c>
      <c r="B18" s="44" t="str">
        <f>LOOKUP(A18,$A$4:$A$13,B4:B13)</f>
        <v>Speaker</v>
      </c>
      <c r="C18" s="45">
        <f>LOOKUP(A18,$A$4:$A$13,C4:C13)</f>
        <v>23</v>
      </c>
      <c r="D18" s="59">
        <f>LOOKUP(A18,A4:A13,$D$4:$D$13)</f>
        <v>400</v>
      </c>
      <c r="E18" s="59">
        <f>LOOKUP(A18,$A$4:$A$13,$E$4:$E$13)</f>
        <v>0.05</v>
      </c>
      <c r="F18" s="59">
        <f>LOOKUP(A18,$A$4:$A$13,$F$4:$F$13)</f>
        <v>8740</v>
      </c>
    </row>
    <row r="19" spans="1:6" ht="23">
      <c r="A19" s="45">
        <v>10</v>
      </c>
      <c r="B19" s="44" t="str">
        <f>LOOKUP(A19,$A$4:$A$13,B4:B13)</f>
        <v>CPU</v>
      </c>
      <c r="C19" s="45">
        <f>LOOKUP(A19,$A$4:$A$13,C4:C13)</f>
        <v>45</v>
      </c>
      <c r="D19" s="59">
        <f>LOOKUP(A19,A4:A13,$D$4:$D$13)</f>
        <v>450</v>
      </c>
      <c r="E19" s="59">
        <f t="shared" ref="E19:E22" si="1">LOOKUP(A19,$A$4:$A$13,$E$4:$E$13)</f>
        <v>0.08</v>
      </c>
      <c r="F19" s="59">
        <f t="shared" ref="F19:F22" si="2">LOOKUP(A19,$A$4:$A$13,$F$4:$F$13)</f>
        <v>18630</v>
      </c>
    </row>
    <row r="20" spans="1:6" ht="23">
      <c r="A20" s="45">
        <v>6</v>
      </c>
      <c r="B20" s="44" t="str">
        <f>LOOKUP(A20,$A$4:$A$13,B4:B13)</f>
        <v>RAM</v>
      </c>
      <c r="C20" s="45">
        <f>LOOKUP(A20,$A$4:$A$13,C4:C13)</f>
        <v>20</v>
      </c>
      <c r="D20" s="59">
        <f>LOOKUP(A20,A4:A13,$D$4:$D$13)</f>
        <v>450</v>
      </c>
      <c r="E20" s="59">
        <f t="shared" si="1"/>
        <v>0.05</v>
      </c>
      <c r="F20" s="59">
        <f t="shared" si="2"/>
        <v>8550</v>
      </c>
    </row>
    <row r="21" spans="1:6" ht="23">
      <c r="A21" s="45">
        <v>2</v>
      </c>
      <c r="B21" s="44" t="str">
        <f>LOOKUP(A21,$A$4:$A$13,B4:B13)</f>
        <v>Printer</v>
      </c>
      <c r="C21" s="45">
        <f>LOOKUP(A21,$A$4:$A$13,C4:C13)</f>
        <v>14</v>
      </c>
      <c r="D21" s="59">
        <f>LOOKUP(A21,A4:A13,$D$4:$D$13)</f>
        <v>250</v>
      </c>
      <c r="E21" s="59">
        <f t="shared" si="1"/>
        <v>0.04</v>
      </c>
      <c r="F21" s="59">
        <f t="shared" si="2"/>
        <v>3360</v>
      </c>
    </row>
    <row r="22" spans="1:6" ht="23">
      <c r="A22" s="45">
        <v>8</v>
      </c>
      <c r="B22" s="44" t="str">
        <f>LOOKUP(A22,$A$4:$A$13,B4:B13)</f>
        <v>CD</v>
      </c>
      <c r="C22" s="45">
        <f>LOOKUP(A22,$A$4:$A$13,C4:C13)</f>
        <v>55</v>
      </c>
      <c r="D22" s="59">
        <f>LOOKUP(A22,A4:A13,$D$4:$D$13)</f>
        <v>250</v>
      </c>
      <c r="E22" s="59">
        <f t="shared" si="1"/>
        <v>0.04</v>
      </c>
      <c r="F22" s="59">
        <f t="shared" si="2"/>
        <v>13200</v>
      </c>
    </row>
    <row r="23" spans="1:6" ht="23">
      <c r="A23" s="54"/>
      <c r="B23" s="54"/>
      <c r="C23" s="55" t="s">
        <v>188</v>
      </c>
      <c r="D23" s="213" t="s">
        <v>189</v>
      </c>
      <c r="E23" s="213"/>
      <c r="F23" s="213"/>
    </row>
    <row r="24" spans="1:6" ht="23.15" customHeight="1">
      <c r="A24" s="204" t="s">
        <v>190</v>
      </c>
      <c r="B24" s="204"/>
      <c r="C24" s="204"/>
      <c r="D24" s="204"/>
      <c r="E24" s="204"/>
      <c r="F24" s="204"/>
    </row>
    <row r="25" spans="1:6">
      <c r="A25" s="205"/>
      <c r="B25" s="205"/>
      <c r="C25" s="205"/>
      <c r="D25" s="205"/>
      <c r="E25" s="205"/>
      <c r="F25" s="205"/>
    </row>
    <row r="26" spans="1:6" ht="23">
      <c r="A26" s="53" t="s">
        <v>192</v>
      </c>
      <c r="B26" s="53" t="s">
        <v>126</v>
      </c>
      <c r="C26" s="53" t="s">
        <v>127</v>
      </c>
      <c r="D26" s="53" t="s">
        <v>129</v>
      </c>
      <c r="E26" s="53" t="s">
        <v>130</v>
      </c>
      <c r="F26" s="53" t="s">
        <v>15</v>
      </c>
    </row>
    <row r="27" spans="1:6" ht="23">
      <c r="A27" s="60">
        <v>1</v>
      </c>
      <c r="B27" s="44" t="s">
        <v>193</v>
      </c>
      <c r="C27" s="45" t="s">
        <v>149</v>
      </c>
      <c r="D27" s="44" t="s">
        <v>152</v>
      </c>
      <c r="E27" s="44" t="s">
        <v>159</v>
      </c>
      <c r="F27" s="46">
        <v>500</v>
      </c>
    </row>
    <row r="28" spans="1:6" ht="23">
      <c r="A28" s="60">
        <v>2</v>
      </c>
      <c r="B28" s="44" t="s">
        <v>194</v>
      </c>
      <c r="C28" s="45" t="s">
        <v>6</v>
      </c>
      <c r="D28" s="44" t="s">
        <v>153</v>
      </c>
      <c r="E28" s="44" t="s">
        <v>158</v>
      </c>
      <c r="F28" s="46">
        <v>152</v>
      </c>
    </row>
    <row r="29" spans="1:6" ht="23">
      <c r="A29" s="60">
        <v>3</v>
      </c>
      <c r="B29" s="44" t="s">
        <v>195</v>
      </c>
      <c r="C29" s="45" t="s">
        <v>6</v>
      </c>
      <c r="D29" s="44" t="s">
        <v>151</v>
      </c>
      <c r="E29" s="44" t="s">
        <v>160</v>
      </c>
      <c r="F29" s="46">
        <v>200</v>
      </c>
    </row>
    <row r="30" spans="1:6" ht="23">
      <c r="A30" s="60">
        <v>4</v>
      </c>
      <c r="B30" s="44" t="s">
        <v>196</v>
      </c>
      <c r="C30" s="45" t="s">
        <v>149</v>
      </c>
      <c r="D30" s="44" t="s">
        <v>156</v>
      </c>
      <c r="E30" s="44" t="s">
        <v>203</v>
      </c>
      <c r="F30" s="46">
        <v>520</v>
      </c>
    </row>
    <row r="31" spans="1:6" ht="23">
      <c r="A31" s="60">
        <v>5</v>
      </c>
      <c r="B31" s="44" t="s">
        <v>197</v>
      </c>
      <c r="C31" s="45" t="s">
        <v>6</v>
      </c>
      <c r="D31" s="44" t="s">
        <v>155</v>
      </c>
      <c r="E31" s="44" t="s">
        <v>159</v>
      </c>
      <c r="F31" s="46">
        <v>250</v>
      </c>
    </row>
    <row r="32" spans="1:6" ht="23">
      <c r="A32" s="60">
        <v>6</v>
      </c>
      <c r="B32" s="44" t="s">
        <v>198</v>
      </c>
      <c r="C32" s="45" t="s">
        <v>149</v>
      </c>
      <c r="D32" s="44" t="s">
        <v>152</v>
      </c>
      <c r="E32" s="44" t="s">
        <v>159</v>
      </c>
      <c r="F32" s="46">
        <v>450</v>
      </c>
    </row>
    <row r="33" spans="1:6" ht="23">
      <c r="A33" s="60">
        <v>7</v>
      </c>
      <c r="B33" s="44" t="s">
        <v>199</v>
      </c>
      <c r="C33" s="45" t="s">
        <v>149</v>
      </c>
      <c r="D33" s="44" t="s">
        <v>153</v>
      </c>
      <c r="E33" s="44" t="s">
        <v>203</v>
      </c>
      <c r="F33" s="46">
        <v>440</v>
      </c>
    </row>
    <row r="34" spans="1:6" ht="23">
      <c r="A34" s="60">
        <v>8</v>
      </c>
      <c r="B34" s="44" t="s">
        <v>200</v>
      </c>
      <c r="C34" s="45" t="s">
        <v>6</v>
      </c>
      <c r="D34" s="44" t="s">
        <v>150</v>
      </c>
      <c r="E34" s="44" t="s">
        <v>164</v>
      </c>
      <c r="F34" s="46">
        <v>250</v>
      </c>
    </row>
    <row r="35" spans="1:6" ht="23">
      <c r="A35" s="60">
        <v>9</v>
      </c>
      <c r="B35" s="44" t="s">
        <v>201</v>
      </c>
      <c r="C35" s="45" t="s">
        <v>6</v>
      </c>
      <c r="D35" s="44" t="s">
        <v>153</v>
      </c>
      <c r="E35" s="44" t="s">
        <v>160</v>
      </c>
      <c r="F35" s="46">
        <v>360</v>
      </c>
    </row>
    <row r="36" spans="1:6" ht="23">
      <c r="A36" s="60">
        <v>10</v>
      </c>
      <c r="B36" s="44" t="s">
        <v>202</v>
      </c>
      <c r="C36" s="45" t="s">
        <v>149</v>
      </c>
      <c r="D36" s="44" t="s">
        <v>152</v>
      </c>
      <c r="E36" s="44" t="s">
        <v>204</v>
      </c>
      <c r="F36" s="46">
        <v>150</v>
      </c>
    </row>
    <row r="37" spans="1:6">
      <c r="A37" s="57"/>
      <c r="B37" s="58"/>
      <c r="C37" s="58"/>
      <c r="E37" s="58"/>
      <c r="F37" s="58"/>
    </row>
    <row r="38" spans="1:6">
      <c r="A38" s="40" t="s">
        <v>166</v>
      </c>
      <c r="B38" t="s">
        <v>168</v>
      </c>
      <c r="D38" s="40" t="s">
        <v>166</v>
      </c>
      <c r="E38" t="s">
        <v>171</v>
      </c>
    </row>
    <row r="39" spans="1:6">
      <c r="A39" s="41" t="s">
        <v>164</v>
      </c>
      <c r="B39" s="42">
        <v>1</v>
      </c>
      <c r="D39" s="41" t="s">
        <v>164</v>
      </c>
      <c r="E39" s="42">
        <v>1</v>
      </c>
    </row>
    <row r="40" spans="1:6">
      <c r="A40" s="41" t="s">
        <v>203</v>
      </c>
      <c r="B40" s="42">
        <v>2</v>
      </c>
      <c r="D40" s="41" t="s">
        <v>203</v>
      </c>
      <c r="E40" s="42">
        <v>2</v>
      </c>
    </row>
    <row r="41" spans="1:6">
      <c r="A41" s="41" t="s">
        <v>204</v>
      </c>
      <c r="B41" s="42">
        <v>1</v>
      </c>
      <c r="D41" s="41" t="s">
        <v>204</v>
      </c>
      <c r="E41" s="42">
        <v>1</v>
      </c>
    </row>
    <row r="42" spans="1:6">
      <c r="A42" s="41" t="s">
        <v>158</v>
      </c>
      <c r="B42" s="42">
        <v>1</v>
      </c>
      <c r="D42" s="41" t="s">
        <v>158</v>
      </c>
      <c r="E42" s="42">
        <v>1</v>
      </c>
    </row>
    <row r="43" spans="1:6">
      <c r="A43" s="41" t="s">
        <v>160</v>
      </c>
      <c r="B43" s="42">
        <v>2</v>
      </c>
      <c r="D43" s="41" t="s">
        <v>160</v>
      </c>
      <c r="E43" s="42">
        <v>2</v>
      </c>
    </row>
    <row r="44" spans="1:6">
      <c r="A44" s="41" t="s">
        <v>159</v>
      </c>
      <c r="B44" s="42">
        <v>3</v>
      </c>
      <c r="D44" s="41" t="s">
        <v>159</v>
      </c>
      <c r="E44" s="42">
        <v>3</v>
      </c>
    </row>
    <row r="45" spans="1:6">
      <c r="A45" s="41" t="s">
        <v>167</v>
      </c>
      <c r="B45" s="42">
        <v>10</v>
      </c>
      <c r="D45" s="41" t="s">
        <v>167</v>
      </c>
      <c r="E45" s="42">
        <v>10</v>
      </c>
    </row>
  </sheetData>
  <mergeCells count="6">
    <mergeCell ref="A24:F25"/>
    <mergeCell ref="A15:F16"/>
    <mergeCell ref="C1:E1"/>
    <mergeCell ref="A2:F2"/>
    <mergeCell ref="D14:E14"/>
    <mergeCell ref="D23:F23"/>
  </mergeCells>
  <pageMargins left="0.7" right="0.7" top="0.75" bottom="0.75" header="0.3" footer="0.3"/>
  <pageSetup orientation="portrait" horizontalDpi="1200" verticalDpi="1200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B6A20-D304-4F56-9CC6-23C328804A5C}">
  <dimension ref="A1:K29"/>
  <sheetViews>
    <sheetView topLeftCell="A22" zoomScale="82" workbookViewId="0">
      <selection activeCell="E21" sqref="E21"/>
    </sheetView>
  </sheetViews>
  <sheetFormatPr defaultRowHeight="14.5"/>
  <cols>
    <col min="1" max="1" width="7.81640625" customWidth="1"/>
    <col min="2" max="2" width="19.81640625" customWidth="1"/>
    <col min="3" max="10" width="11.54296875" customWidth="1"/>
  </cols>
  <sheetData>
    <row r="1" spans="1:11" ht="23">
      <c r="B1" s="62"/>
      <c r="C1" s="62"/>
      <c r="D1" s="225" t="s">
        <v>223</v>
      </c>
      <c r="E1" s="226"/>
      <c r="F1" s="226"/>
      <c r="G1" s="226"/>
      <c r="H1" s="62"/>
      <c r="I1" s="62"/>
      <c r="J1" s="63"/>
    </row>
    <row r="2" spans="1:11" ht="23">
      <c r="B2" s="229" t="s">
        <v>224</v>
      </c>
      <c r="C2" s="229"/>
      <c r="D2" s="229"/>
      <c r="E2" s="229"/>
      <c r="F2" s="229"/>
      <c r="G2" s="229"/>
      <c r="H2" s="229"/>
      <c r="I2" s="229"/>
      <c r="J2" s="229"/>
    </row>
    <row r="3" spans="1:11" ht="16.5" customHeight="1">
      <c r="A3" s="227" t="s">
        <v>225</v>
      </c>
      <c r="B3" s="227" t="s">
        <v>126</v>
      </c>
      <c r="C3" s="227" t="s">
        <v>205</v>
      </c>
      <c r="D3" s="227" t="s">
        <v>127</v>
      </c>
      <c r="E3" s="231" t="s">
        <v>213</v>
      </c>
      <c r="F3" s="232"/>
      <c r="G3" s="230" t="s">
        <v>25</v>
      </c>
      <c r="H3" s="230" t="s">
        <v>216</v>
      </c>
      <c r="I3" s="230" t="s">
        <v>217</v>
      </c>
      <c r="J3" s="230" t="s">
        <v>218</v>
      </c>
    </row>
    <row r="4" spans="1:11" ht="23">
      <c r="A4" s="228"/>
      <c r="B4" s="228"/>
      <c r="C4" s="228"/>
      <c r="D4" s="228"/>
      <c r="E4" s="64" t="s">
        <v>214</v>
      </c>
      <c r="F4" s="64" t="s">
        <v>215</v>
      </c>
      <c r="G4" s="230"/>
      <c r="H4" s="230"/>
      <c r="I4" s="230"/>
      <c r="J4" s="230"/>
    </row>
    <row r="5" spans="1:11" ht="23">
      <c r="A5" s="65">
        <v>1</v>
      </c>
      <c r="B5" s="44" t="s">
        <v>206</v>
      </c>
      <c r="C5" s="45">
        <v>35652</v>
      </c>
      <c r="D5" s="45" t="s">
        <v>149</v>
      </c>
      <c r="E5" s="45">
        <v>90</v>
      </c>
      <c r="F5" s="45">
        <v>85</v>
      </c>
      <c r="G5" s="66">
        <f>AVERAGE(E5:F5)</f>
        <v>87.5</v>
      </c>
      <c r="H5" s="45" t="str">
        <f>IF(G5&lt;60,"FALSE","PASS")</f>
        <v>PASS</v>
      </c>
      <c r="I5" s="53" t="str">
        <f>IF(G5&gt;90,"A",IF(G5&gt;80,"B",IF(G5&gt;70,"C",IF(G5&gt;60,"D",IF(G5&gt;50,"E","F")))))</f>
        <v>B</v>
      </c>
      <c r="J5" s="67">
        <f>RANK(G5,$G$5:$G$15)</f>
        <v>5</v>
      </c>
    </row>
    <row r="6" spans="1:11" ht="23">
      <c r="A6" s="65">
        <v>2</v>
      </c>
      <c r="B6" s="44" t="s">
        <v>207</v>
      </c>
      <c r="C6" s="45">
        <v>40456</v>
      </c>
      <c r="D6" s="45" t="s">
        <v>6</v>
      </c>
      <c r="E6" s="45">
        <v>86</v>
      </c>
      <c r="F6" s="45">
        <v>65</v>
      </c>
      <c r="G6" s="66">
        <f t="shared" ref="G6:G15" si="0">AVERAGE(E6:F6)</f>
        <v>75.5</v>
      </c>
      <c r="H6" s="45" t="str">
        <f t="shared" ref="H6:H15" si="1">IF(G6&lt;60,"FALSE","PASS")</f>
        <v>PASS</v>
      </c>
      <c r="I6" s="53" t="str">
        <f t="shared" ref="I6:I15" si="2">IF(G6&gt;90,"A",IF(G6&gt;80,"B",IF(G6&gt;70,"C",IF(G6&gt;60,"D",IF(G6&gt;50,"E","F")))))</f>
        <v>C</v>
      </c>
      <c r="J6" s="67">
        <f t="shared" ref="J6:J15" si="3">RANK(G6,$G$5:$G$15)</f>
        <v>8</v>
      </c>
    </row>
    <row r="7" spans="1:11" ht="23">
      <c r="A7" s="65">
        <v>3</v>
      </c>
      <c r="B7" s="44" t="s">
        <v>208</v>
      </c>
      <c r="C7" s="45">
        <v>39914</v>
      </c>
      <c r="D7" s="45" t="s">
        <v>6</v>
      </c>
      <c r="E7" s="45">
        <v>84</v>
      </c>
      <c r="F7" s="45">
        <v>80</v>
      </c>
      <c r="G7" s="68">
        <f t="shared" si="0"/>
        <v>82</v>
      </c>
      <c r="H7" s="45" t="str">
        <f t="shared" si="1"/>
        <v>PASS</v>
      </c>
      <c r="I7" s="53" t="str">
        <f t="shared" si="2"/>
        <v>B</v>
      </c>
      <c r="J7" s="67">
        <f t="shared" si="3"/>
        <v>7</v>
      </c>
    </row>
    <row r="8" spans="1:11" ht="23">
      <c r="A8" s="65">
        <v>4</v>
      </c>
      <c r="B8" s="44" t="s">
        <v>209</v>
      </c>
      <c r="C8" s="45">
        <v>40730</v>
      </c>
      <c r="D8" s="45" t="s">
        <v>149</v>
      </c>
      <c r="E8" s="45">
        <v>84</v>
      </c>
      <c r="F8" s="45">
        <v>26</v>
      </c>
      <c r="G8" s="68">
        <f t="shared" si="0"/>
        <v>55</v>
      </c>
      <c r="H8" s="45" t="str">
        <f t="shared" si="1"/>
        <v>FALSE</v>
      </c>
      <c r="I8" s="53" t="str">
        <f t="shared" si="2"/>
        <v>E</v>
      </c>
      <c r="J8" s="67">
        <f t="shared" si="3"/>
        <v>10</v>
      </c>
    </row>
    <row r="9" spans="1:11" ht="23">
      <c r="A9" s="65">
        <v>5</v>
      </c>
      <c r="B9" s="44" t="s">
        <v>210</v>
      </c>
      <c r="C9" s="45">
        <v>40275</v>
      </c>
      <c r="D9" s="45" t="s">
        <v>6</v>
      </c>
      <c r="E9" s="45">
        <v>91</v>
      </c>
      <c r="F9" s="45">
        <v>90</v>
      </c>
      <c r="G9" s="66">
        <f t="shared" si="0"/>
        <v>90.5</v>
      </c>
      <c r="H9" s="45" t="str">
        <f t="shared" si="1"/>
        <v>PASS</v>
      </c>
      <c r="I9" s="53" t="str">
        <f t="shared" si="2"/>
        <v>A</v>
      </c>
      <c r="J9" s="67">
        <f t="shared" si="3"/>
        <v>4</v>
      </c>
    </row>
    <row r="10" spans="1:11" ht="23">
      <c r="A10" s="65">
        <v>6</v>
      </c>
      <c r="B10" s="44" t="s">
        <v>211</v>
      </c>
      <c r="C10" s="45">
        <v>33979</v>
      </c>
      <c r="D10" s="45" t="s">
        <v>6</v>
      </c>
      <c r="E10" s="45">
        <v>69</v>
      </c>
      <c r="F10" s="45">
        <v>40</v>
      </c>
      <c r="G10" s="66">
        <f t="shared" si="0"/>
        <v>54.5</v>
      </c>
      <c r="H10" s="45" t="str">
        <f t="shared" si="1"/>
        <v>FALSE</v>
      </c>
      <c r="I10" s="53" t="str">
        <f t="shared" si="2"/>
        <v>E</v>
      </c>
      <c r="J10" s="67">
        <f t="shared" si="3"/>
        <v>11</v>
      </c>
    </row>
    <row r="11" spans="1:11" ht="23">
      <c r="A11" s="65">
        <v>7</v>
      </c>
      <c r="B11" s="44" t="s">
        <v>212</v>
      </c>
      <c r="C11" s="45">
        <v>40584</v>
      </c>
      <c r="D11" s="45" t="s">
        <v>149</v>
      </c>
      <c r="E11" s="45">
        <v>100</v>
      </c>
      <c r="F11" s="45">
        <v>90</v>
      </c>
      <c r="G11" s="68">
        <f t="shared" si="0"/>
        <v>95</v>
      </c>
      <c r="H11" s="45" t="str">
        <f t="shared" si="1"/>
        <v>PASS</v>
      </c>
      <c r="I11" s="53" t="str">
        <f t="shared" si="2"/>
        <v>A</v>
      </c>
      <c r="J11" s="67">
        <f t="shared" si="3"/>
        <v>2</v>
      </c>
    </row>
    <row r="12" spans="1:11" ht="23">
      <c r="A12" s="65">
        <v>8</v>
      </c>
      <c r="B12" s="44" t="s">
        <v>219</v>
      </c>
      <c r="C12" s="45">
        <v>31309</v>
      </c>
      <c r="D12" s="45" t="s">
        <v>6</v>
      </c>
      <c r="E12" s="45">
        <v>87</v>
      </c>
      <c r="F12" s="45">
        <v>85</v>
      </c>
      <c r="G12" s="68">
        <f t="shared" si="0"/>
        <v>86</v>
      </c>
      <c r="H12" s="45" t="str">
        <f t="shared" si="1"/>
        <v>PASS</v>
      </c>
      <c r="I12" s="53" t="str">
        <f t="shared" si="2"/>
        <v>B</v>
      </c>
      <c r="J12" s="67">
        <f t="shared" si="3"/>
        <v>6</v>
      </c>
    </row>
    <row r="13" spans="1:11" ht="23">
      <c r="A13" s="65">
        <v>9</v>
      </c>
      <c r="B13" s="44" t="s">
        <v>220</v>
      </c>
      <c r="C13" s="45">
        <v>38581</v>
      </c>
      <c r="D13" s="45" t="s">
        <v>6</v>
      </c>
      <c r="E13" s="45">
        <v>81</v>
      </c>
      <c r="F13" s="45">
        <v>65</v>
      </c>
      <c r="G13" s="68">
        <f t="shared" si="0"/>
        <v>73</v>
      </c>
      <c r="H13" s="45" t="str">
        <f t="shared" si="1"/>
        <v>PASS</v>
      </c>
      <c r="I13" s="53" t="str">
        <f t="shared" si="2"/>
        <v>C</v>
      </c>
      <c r="J13" s="67">
        <f t="shared" si="3"/>
        <v>9</v>
      </c>
    </row>
    <row r="14" spans="1:11" ht="23">
      <c r="A14" s="65">
        <v>10</v>
      </c>
      <c r="B14" s="44" t="s">
        <v>221</v>
      </c>
      <c r="C14" s="45">
        <v>38892</v>
      </c>
      <c r="D14" s="45" t="s">
        <v>6</v>
      </c>
      <c r="E14" s="45">
        <v>94</v>
      </c>
      <c r="F14" s="45">
        <v>98</v>
      </c>
      <c r="G14" s="68">
        <f t="shared" si="0"/>
        <v>96</v>
      </c>
      <c r="H14" s="45" t="str">
        <f t="shared" si="1"/>
        <v>PASS</v>
      </c>
      <c r="I14" s="53" t="str">
        <f t="shared" si="2"/>
        <v>A</v>
      </c>
      <c r="J14" s="67">
        <f t="shared" si="3"/>
        <v>1</v>
      </c>
      <c r="K14" s="61"/>
    </row>
    <row r="15" spans="1:11" ht="23">
      <c r="A15" s="65">
        <v>11</v>
      </c>
      <c r="B15" s="44" t="s">
        <v>222</v>
      </c>
      <c r="C15" s="45">
        <v>25678</v>
      </c>
      <c r="D15" s="45" t="s">
        <v>149</v>
      </c>
      <c r="E15" s="45">
        <v>98</v>
      </c>
      <c r="F15" s="45">
        <v>85</v>
      </c>
      <c r="G15" s="66">
        <f t="shared" si="0"/>
        <v>91.5</v>
      </c>
      <c r="H15" s="45" t="str">
        <f t="shared" si="1"/>
        <v>PASS</v>
      </c>
      <c r="I15" s="53" t="str">
        <f t="shared" si="2"/>
        <v>A</v>
      </c>
      <c r="J15" s="67">
        <f t="shared" si="3"/>
        <v>3</v>
      </c>
    </row>
    <row r="16" spans="1:11" ht="11.5" customHeight="1"/>
    <row r="17" spans="1:10">
      <c r="A17" s="214" t="s">
        <v>226</v>
      </c>
      <c r="B17" s="215"/>
      <c r="C17" s="215"/>
      <c r="D17" s="215"/>
      <c r="E17" s="215"/>
      <c r="F17" s="215"/>
      <c r="G17" s="215"/>
      <c r="H17" s="215"/>
      <c r="I17" s="215"/>
      <c r="J17" s="215"/>
    </row>
    <row r="18" spans="1:10" ht="10.5" customHeight="1"/>
    <row r="19" spans="1:10">
      <c r="A19" s="216" t="s">
        <v>227</v>
      </c>
      <c r="B19" s="217"/>
      <c r="C19" s="217"/>
      <c r="D19" s="218"/>
      <c r="E19" s="26">
        <f>COUNTIF(G5:G15,"&lt;60")</f>
        <v>2</v>
      </c>
      <c r="F19" s="219" t="s">
        <v>228</v>
      </c>
      <c r="G19" s="222"/>
      <c r="H19" s="223"/>
      <c r="I19" s="223"/>
      <c r="J19" s="224"/>
    </row>
    <row r="20" spans="1:10">
      <c r="A20" s="216" t="s">
        <v>229</v>
      </c>
      <c r="B20" s="217"/>
      <c r="C20" s="217"/>
      <c r="D20" s="218"/>
      <c r="E20" s="26">
        <f>COUNTIF(G5:G15,"&gt;60")</f>
        <v>9</v>
      </c>
      <c r="F20" s="220"/>
      <c r="G20" s="222"/>
      <c r="H20" s="223"/>
      <c r="I20" s="223"/>
      <c r="J20" s="224"/>
    </row>
    <row r="21" spans="1:10">
      <c r="A21" s="216" t="s">
        <v>230</v>
      </c>
      <c r="B21" s="217"/>
      <c r="C21" s="217"/>
      <c r="D21" s="218"/>
      <c r="E21" s="26">
        <f>COUNTIF(G5:G15,"&gt;90")</f>
        <v>4</v>
      </c>
      <c r="F21" s="220"/>
      <c r="G21" s="222"/>
      <c r="H21" s="223"/>
      <c r="I21" s="223"/>
      <c r="J21" s="224"/>
    </row>
    <row r="22" spans="1:10">
      <c r="A22" s="216" t="s">
        <v>231</v>
      </c>
      <c r="B22" s="217"/>
      <c r="C22" s="217"/>
      <c r="D22" s="218"/>
      <c r="E22" s="26">
        <f>COUNTIF(D5:D15,"M")</f>
        <v>4</v>
      </c>
      <c r="F22" s="221"/>
      <c r="G22" s="222"/>
      <c r="H22" s="223"/>
      <c r="I22" s="223"/>
      <c r="J22" s="224"/>
    </row>
    <row r="24" spans="1:10">
      <c r="C24" s="215" t="s">
        <v>232</v>
      </c>
      <c r="D24" s="215"/>
      <c r="E24" s="215"/>
      <c r="F24" s="215"/>
      <c r="G24" s="215"/>
      <c r="H24" s="215"/>
      <c r="I24" s="215"/>
    </row>
    <row r="25" spans="1:10">
      <c r="C25" s="215" t="s">
        <v>233</v>
      </c>
      <c r="D25" s="215"/>
      <c r="E25" s="215"/>
      <c r="F25" s="215"/>
      <c r="G25" s="215"/>
      <c r="H25" s="215"/>
      <c r="I25" s="215"/>
    </row>
    <row r="26" spans="1:10">
      <c r="C26" s="215" t="s">
        <v>234</v>
      </c>
      <c r="D26" s="215"/>
      <c r="E26" s="215"/>
      <c r="F26" s="215"/>
      <c r="G26" s="215"/>
      <c r="H26" s="215"/>
      <c r="I26" s="215"/>
    </row>
    <row r="27" spans="1:10">
      <c r="C27" s="215" t="s">
        <v>235</v>
      </c>
      <c r="D27" s="215"/>
      <c r="E27" s="215"/>
      <c r="F27" s="215"/>
      <c r="G27" s="215"/>
      <c r="H27" s="215"/>
      <c r="I27" s="215"/>
    </row>
    <row r="29" spans="1:10">
      <c r="B29" s="233" t="s">
        <v>236</v>
      </c>
      <c r="C29" s="234"/>
      <c r="D29" s="234"/>
      <c r="E29" s="234"/>
      <c r="F29" s="234"/>
      <c r="G29" s="234"/>
      <c r="H29" s="234"/>
    </row>
  </sheetData>
  <mergeCells count="26">
    <mergeCell ref="C25:I25"/>
    <mergeCell ref="C24:I24"/>
    <mergeCell ref="C26:I26"/>
    <mergeCell ref="C27:I27"/>
    <mergeCell ref="B29:H29"/>
    <mergeCell ref="D1:G1"/>
    <mergeCell ref="A3:A4"/>
    <mergeCell ref="B3:B4"/>
    <mergeCell ref="C3:C4"/>
    <mergeCell ref="D3:D4"/>
    <mergeCell ref="B2:J2"/>
    <mergeCell ref="G3:G4"/>
    <mergeCell ref="I3:I4"/>
    <mergeCell ref="J3:J4"/>
    <mergeCell ref="E3:F3"/>
    <mergeCell ref="H3:H4"/>
    <mergeCell ref="A17:J17"/>
    <mergeCell ref="A19:D19"/>
    <mergeCell ref="A20:D20"/>
    <mergeCell ref="A22:D22"/>
    <mergeCell ref="F19:F22"/>
    <mergeCell ref="A21:D21"/>
    <mergeCell ref="G19:J19"/>
    <mergeCell ref="G20:J20"/>
    <mergeCell ref="G21:J21"/>
    <mergeCell ref="G22:J22"/>
  </mergeCell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F7909-3B6C-4649-A4E2-4600B2E37601}">
  <dimension ref="A1:G35"/>
  <sheetViews>
    <sheetView topLeftCell="A26" zoomScale="53" zoomScaleNormal="100" workbookViewId="0">
      <selection activeCell="O24" sqref="O24"/>
    </sheetView>
  </sheetViews>
  <sheetFormatPr defaultRowHeight="14.5"/>
  <cols>
    <col min="1" max="1" width="6.1796875" style="2" customWidth="1"/>
    <col min="2" max="2" width="11.54296875" customWidth="1"/>
    <col min="3" max="3" width="24.1796875" customWidth="1"/>
    <col min="4" max="4" width="12.26953125" customWidth="1"/>
    <col min="5" max="6" width="12.54296875" customWidth="1"/>
    <col min="7" max="8" width="13.1796875" customWidth="1"/>
  </cols>
  <sheetData>
    <row r="1" spans="1:7" ht="23">
      <c r="A1" s="70"/>
      <c r="B1" s="71"/>
      <c r="C1" s="238" t="s">
        <v>290</v>
      </c>
      <c r="D1" s="239"/>
      <c r="E1" s="239"/>
      <c r="F1" s="72"/>
      <c r="G1" s="71"/>
    </row>
    <row r="2" spans="1:7" ht="23">
      <c r="A2" s="70"/>
      <c r="B2" s="71"/>
      <c r="C2" s="239"/>
      <c r="D2" s="239"/>
      <c r="E2" s="239"/>
      <c r="F2" s="72"/>
      <c r="G2" s="71"/>
    </row>
    <row r="3" spans="1:7" ht="23">
      <c r="A3" s="70"/>
      <c r="B3" s="71"/>
      <c r="C3" s="237" t="s">
        <v>291</v>
      </c>
      <c r="D3" s="237"/>
      <c r="E3" s="237"/>
      <c r="F3" s="71"/>
      <c r="G3" s="71"/>
    </row>
    <row r="4" spans="1:7" ht="23">
      <c r="A4" s="240" t="s">
        <v>292</v>
      </c>
      <c r="B4" s="240"/>
      <c r="C4" s="240"/>
      <c r="D4" s="71"/>
      <c r="E4" s="71"/>
      <c r="F4" s="71"/>
      <c r="G4" s="71"/>
    </row>
    <row r="5" spans="1:7" ht="23">
      <c r="A5" s="235" t="s">
        <v>293</v>
      </c>
      <c r="B5" s="235"/>
      <c r="C5" s="235"/>
      <c r="D5" s="235"/>
      <c r="E5" s="235"/>
      <c r="F5" s="235"/>
      <c r="G5" s="235"/>
    </row>
    <row r="6" spans="1:7" ht="19.5" customHeight="1">
      <c r="A6" s="69"/>
      <c r="B6" s="58"/>
      <c r="C6" s="58"/>
      <c r="D6" s="58"/>
      <c r="E6" s="58"/>
      <c r="F6" s="58"/>
      <c r="G6" s="58"/>
    </row>
    <row r="7" spans="1:7" ht="20.149999999999999" customHeight="1">
      <c r="A7" s="78" t="s">
        <v>294</v>
      </c>
      <c r="B7" s="78" t="s">
        <v>126</v>
      </c>
      <c r="C7" s="78" t="s">
        <v>237</v>
      </c>
      <c r="D7" s="78" t="s">
        <v>238</v>
      </c>
      <c r="E7" s="78" t="s">
        <v>239</v>
      </c>
      <c r="F7" s="78" t="s">
        <v>240</v>
      </c>
      <c r="G7" s="78" t="s">
        <v>90</v>
      </c>
    </row>
    <row r="8" spans="1:7" ht="23">
      <c r="A8" s="73">
        <v>1</v>
      </c>
      <c r="B8" s="74" t="s">
        <v>241</v>
      </c>
      <c r="C8" s="74" t="s">
        <v>265</v>
      </c>
      <c r="D8" s="75">
        <v>120</v>
      </c>
      <c r="E8" s="76">
        <v>250</v>
      </c>
      <c r="F8" s="76">
        <f>E8-D8</f>
        <v>130</v>
      </c>
      <c r="G8" s="77">
        <f>IF(F8&lt;=50,F8*350,IF(F8&lt;=100,F8*550,IF(F8&gt;100,F8*650)))</f>
        <v>84500</v>
      </c>
    </row>
    <row r="9" spans="1:7" ht="23">
      <c r="A9" s="73">
        <v>2</v>
      </c>
      <c r="B9" s="74" t="s">
        <v>242</v>
      </c>
      <c r="C9" s="74" t="s">
        <v>267</v>
      </c>
      <c r="D9" s="75">
        <v>50</v>
      </c>
      <c r="E9" s="76">
        <v>100</v>
      </c>
      <c r="F9" s="76">
        <f>E9-D9</f>
        <v>50</v>
      </c>
      <c r="G9" s="77">
        <f t="shared" ref="G9:G31" si="0">IF(F9&lt;=50,F9*350,IF(F9&lt;=100,F9*550,IF(F9&gt;100,F9*650)))</f>
        <v>17500</v>
      </c>
    </row>
    <row r="10" spans="1:7" ht="23">
      <c r="A10" s="73">
        <v>3</v>
      </c>
      <c r="B10" s="74" t="s">
        <v>243</v>
      </c>
      <c r="C10" s="74" t="s">
        <v>266</v>
      </c>
      <c r="D10" s="75">
        <v>215</v>
      </c>
      <c r="E10" s="76">
        <v>256</v>
      </c>
      <c r="F10" s="76">
        <f t="shared" ref="F10:F32" si="1">E10-D10</f>
        <v>41</v>
      </c>
      <c r="G10" s="77">
        <f t="shared" si="0"/>
        <v>14350</v>
      </c>
    </row>
    <row r="11" spans="1:7" ht="23">
      <c r="A11" s="73">
        <v>4</v>
      </c>
      <c r="B11" s="74" t="s">
        <v>244</v>
      </c>
      <c r="C11" s="74" t="s">
        <v>268</v>
      </c>
      <c r="D11" s="75">
        <v>395</v>
      </c>
      <c r="E11" s="76">
        <v>412</v>
      </c>
      <c r="F11" s="76">
        <f t="shared" si="1"/>
        <v>17</v>
      </c>
      <c r="G11" s="77">
        <f t="shared" si="0"/>
        <v>5950</v>
      </c>
    </row>
    <row r="12" spans="1:7" ht="23">
      <c r="A12" s="73">
        <v>5</v>
      </c>
      <c r="B12" s="74" t="s">
        <v>245</v>
      </c>
      <c r="C12" s="74" t="s">
        <v>269</v>
      </c>
      <c r="D12" s="75">
        <v>495</v>
      </c>
      <c r="E12" s="76">
        <v>560</v>
      </c>
      <c r="F12" s="76">
        <f t="shared" si="1"/>
        <v>65</v>
      </c>
      <c r="G12" s="77">
        <f t="shared" si="0"/>
        <v>35750</v>
      </c>
    </row>
    <row r="13" spans="1:7" ht="23">
      <c r="A13" s="73">
        <v>6</v>
      </c>
      <c r="B13" s="74" t="s">
        <v>246</v>
      </c>
      <c r="C13" s="74" t="s">
        <v>270</v>
      </c>
      <c r="D13" s="75">
        <v>93</v>
      </c>
      <c r="E13" s="76">
        <v>135</v>
      </c>
      <c r="F13" s="76">
        <f t="shared" si="1"/>
        <v>42</v>
      </c>
      <c r="G13" s="77">
        <f t="shared" si="0"/>
        <v>14700</v>
      </c>
    </row>
    <row r="14" spans="1:7" ht="23">
      <c r="A14" s="73">
        <v>7</v>
      </c>
      <c r="B14" s="74" t="s">
        <v>247</v>
      </c>
      <c r="C14" s="74" t="s">
        <v>271</v>
      </c>
      <c r="D14" s="75">
        <v>58</v>
      </c>
      <c r="E14" s="76">
        <v>95</v>
      </c>
      <c r="F14" s="76">
        <f t="shared" si="1"/>
        <v>37</v>
      </c>
      <c r="G14" s="77">
        <f t="shared" si="0"/>
        <v>12950</v>
      </c>
    </row>
    <row r="15" spans="1:7" ht="23">
      <c r="A15" s="73">
        <v>8</v>
      </c>
      <c r="B15" s="74" t="s">
        <v>248</v>
      </c>
      <c r="C15" s="74" t="s">
        <v>272</v>
      </c>
      <c r="D15" s="75">
        <v>58</v>
      </c>
      <c r="E15" s="76">
        <v>657</v>
      </c>
      <c r="F15" s="76">
        <f t="shared" si="1"/>
        <v>599</v>
      </c>
      <c r="G15" s="77">
        <f t="shared" si="0"/>
        <v>389350</v>
      </c>
    </row>
    <row r="16" spans="1:7" ht="23">
      <c r="A16" s="73">
        <v>9</v>
      </c>
      <c r="B16" s="74" t="s">
        <v>249</v>
      </c>
      <c r="C16" s="74" t="s">
        <v>273</v>
      </c>
      <c r="D16" s="75">
        <v>567</v>
      </c>
      <c r="E16" s="76">
        <v>601</v>
      </c>
      <c r="F16" s="76">
        <f t="shared" si="1"/>
        <v>34</v>
      </c>
      <c r="G16" s="77">
        <f t="shared" si="0"/>
        <v>11900</v>
      </c>
    </row>
    <row r="17" spans="1:7" ht="23">
      <c r="A17" s="73">
        <v>10</v>
      </c>
      <c r="B17" s="74" t="s">
        <v>250</v>
      </c>
      <c r="C17" s="74" t="s">
        <v>274</v>
      </c>
      <c r="D17" s="75">
        <v>354</v>
      </c>
      <c r="E17" s="76">
        <v>394</v>
      </c>
      <c r="F17" s="76">
        <f t="shared" si="1"/>
        <v>40</v>
      </c>
      <c r="G17" s="77">
        <f t="shared" si="0"/>
        <v>14000</v>
      </c>
    </row>
    <row r="18" spans="1:7" ht="23">
      <c r="A18" s="73">
        <v>11</v>
      </c>
      <c r="B18" s="74" t="s">
        <v>251</v>
      </c>
      <c r="C18" s="74" t="s">
        <v>275</v>
      </c>
      <c r="D18" s="75">
        <v>880</v>
      </c>
      <c r="E18" s="76">
        <v>921</v>
      </c>
      <c r="F18" s="76">
        <f t="shared" si="1"/>
        <v>41</v>
      </c>
      <c r="G18" s="77">
        <f t="shared" si="0"/>
        <v>14350</v>
      </c>
    </row>
    <row r="19" spans="1:7" ht="23">
      <c r="A19" s="73">
        <v>12</v>
      </c>
      <c r="B19" s="74" t="s">
        <v>252</v>
      </c>
      <c r="C19" s="74" t="s">
        <v>277</v>
      </c>
      <c r="D19" s="75">
        <v>756</v>
      </c>
      <c r="E19" s="76">
        <v>951</v>
      </c>
      <c r="F19" s="76">
        <f t="shared" si="1"/>
        <v>195</v>
      </c>
      <c r="G19" s="77">
        <f t="shared" si="0"/>
        <v>126750</v>
      </c>
    </row>
    <row r="20" spans="1:7" ht="23">
      <c r="A20" s="73">
        <v>13</v>
      </c>
      <c r="B20" s="74" t="s">
        <v>253</v>
      </c>
      <c r="C20" s="74" t="s">
        <v>276</v>
      </c>
      <c r="D20" s="75">
        <v>756</v>
      </c>
      <c r="E20" s="76">
        <v>951</v>
      </c>
      <c r="F20" s="76">
        <f t="shared" si="1"/>
        <v>195</v>
      </c>
      <c r="G20" s="77">
        <f t="shared" si="0"/>
        <v>126750</v>
      </c>
    </row>
    <row r="21" spans="1:7" ht="23">
      <c r="A21" s="73">
        <v>14</v>
      </c>
      <c r="B21" s="74" t="s">
        <v>254</v>
      </c>
      <c r="C21" s="74" t="s">
        <v>278</v>
      </c>
      <c r="D21" s="75">
        <v>195</v>
      </c>
      <c r="E21" s="76">
        <v>356</v>
      </c>
      <c r="F21" s="76">
        <f t="shared" si="1"/>
        <v>161</v>
      </c>
      <c r="G21" s="77">
        <f t="shared" si="0"/>
        <v>104650</v>
      </c>
    </row>
    <row r="22" spans="1:7" ht="23">
      <c r="A22" s="73">
        <v>15</v>
      </c>
      <c r="B22" s="74" t="s">
        <v>255</v>
      </c>
      <c r="C22" s="74" t="s">
        <v>279</v>
      </c>
      <c r="D22" s="75">
        <v>286</v>
      </c>
      <c r="E22" s="76">
        <v>580</v>
      </c>
      <c r="F22" s="76">
        <f t="shared" si="1"/>
        <v>294</v>
      </c>
      <c r="G22" s="77">
        <f t="shared" si="0"/>
        <v>191100</v>
      </c>
    </row>
    <row r="23" spans="1:7" ht="23">
      <c r="A23" s="73">
        <v>16</v>
      </c>
      <c r="B23" s="74" t="s">
        <v>256</v>
      </c>
      <c r="C23" s="74" t="s">
        <v>280</v>
      </c>
      <c r="D23" s="75">
        <v>150</v>
      </c>
      <c r="E23" s="76">
        <v>359</v>
      </c>
      <c r="F23" s="76">
        <f t="shared" si="1"/>
        <v>209</v>
      </c>
      <c r="G23" s="77">
        <f t="shared" si="0"/>
        <v>135850</v>
      </c>
    </row>
    <row r="24" spans="1:7" ht="23">
      <c r="A24" s="73">
        <v>17</v>
      </c>
      <c r="B24" s="74" t="s">
        <v>257</v>
      </c>
      <c r="C24" s="74" t="s">
        <v>281</v>
      </c>
      <c r="D24" s="75">
        <v>845</v>
      </c>
      <c r="E24" s="76">
        <v>850</v>
      </c>
      <c r="F24" s="76">
        <f>E24-D24</f>
        <v>5</v>
      </c>
      <c r="G24" s="77">
        <f>IF(F24&lt;=50,F24*350,IF(F24&lt;=100,F24*550,IF(F24&gt;100,F24*650)))</f>
        <v>1750</v>
      </c>
    </row>
    <row r="25" spans="1:7" ht="23">
      <c r="A25" s="73">
        <v>18</v>
      </c>
      <c r="B25" s="74" t="s">
        <v>70</v>
      </c>
      <c r="C25" s="74" t="s">
        <v>282</v>
      </c>
      <c r="D25" s="75">
        <v>450</v>
      </c>
      <c r="E25" s="76">
        <v>560</v>
      </c>
      <c r="F25" s="76">
        <f t="shared" si="1"/>
        <v>110</v>
      </c>
      <c r="G25" s="77">
        <f t="shared" si="0"/>
        <v>71500</v>
      </c>
    </row>
    <row r="26" spans="1:7" ht="23">
      <c r="A26" s="73">
        <v>19</v>
      </c>
      <c r="B26" s="74" t="s">
        <v>258</v>
      </c>
      <c r="C26" s="74" t="s">
        <v>283</v>
      </c>
      <c r="D26" s="75">
        <v>150</v>
      </c>
      <c r="E26" s="76">
        <v>253</v>
      </c>
      <c r="F26" s="76">
        <f t="shared" si="1"/>
        <v>103</v>
      </c>
      <c r="G26" s="77">
        <f t="shared" si="0"/>
        <v>66950</v>
      </c>
    </row>
    <row r="27" spans="1:7" ht="23">
      <c r="A27" s="73">
        <v>20</v>
      </c>
      <c r="B27" s="74" t="s">
        <v>259</v>
      </c>
      <c r="C27" s="74" t="s">
        <v>284</v>
      </c>
      <c r="D27" s="75">
        <v>150</v>
      </c>
      <c r="E27" s="76">
        <v>590</v>
      </c>
      <c r="F27" s="76">
        <f t="shared" si="1"/>
        <v>440</v>
      </c>
      <c r="G27" s="77">
        <f t="shared" si="0"/>
        <v>286000</v>
      </c>
    </row>
    <row r="28" spans="1:7" ht="23">
      <c r="A28" s="73">
        <v>21</v>
      </c>
      <c r="B28" s="74" t="s">
        <v>260</v>
      </c>
      <c r="C28" s="74" t="s">
        <v>285</v>
      </c>
      <c r="D28" s="75">
        <v>520</v>
      </c>
      <c r="E28" s="76">
        <v>765</v>
      </c>
      <c r="F28" s="76">
        <f t="shared" si="1"/>
        <v>245</v>
      </c>
      <c r="G28" s="77">
        <f t="shared" si="0"/>
        <v>159250</v>
      </c>
    </row>
    <row r="29" spans="1:7" ht="23">
      <c r="A29" s="73">
        <v>22</v>
      </c>
      <c r="B29" s="74" t="s">
        <v>261</v>
      </c>
      <c r="C29" s="74" t="s">
        <v>286</v>
      </c>
      <c r="D29" s="75">
        <v>485</v>
      </c>
      <c r="E29" s="76">
        <v>800</v>
      </c>
      <c r="F29" s="76">
        <f t="shared" si="1"/>
        <v>315</v>
      </c>
      <c r="G29" s="77">
        <f t="shared" si="0"/>
        <v>204750</v>
      </c>
    </row>
    <row r="30" spans="1:7" ht="23">
      <c r="A30" s="73">
        <v>23</v>
      </c>
      <c r="B30" s="74" t="s">
        <v>262</v>
      </c>
      <c r="C30" s="74" t="s">
        <v>287</v>
      </c>
      <c r="D30" s="75">
        <v>269</v>
      </c>
      <c r="E30" s="76">
        <v>285</v>
      </c>
      <c r="F30" s="76">
        <f t="shared" si="1"/>
        <v>16</v>
      </c>
      <c r="G30" s="77">
        <f t="shared" si="0"/>
        <v>5600</v>
      </c>
    </row>
    <row r="31" spans="1:7" ht="23">
      <c r="A31" s="73">
        <v>24</v>
      </c>
      <c r="B31" s="74" t="s">
        <v>263</v>
      </c>
      <c r="C31" s="74" t="s">
        <v>288</v>
      </c>
      <c r="D31" s="75">
        <v>532</v>
      </c>
      <c r="E31" s="76">
        <v>956</v>
      </c>
      <c r="F31" s="76">
        <f t="shared" si="1"/>
        <v>424</v>
      </c>
      <c r="G31" s="77">
        <f t="shared" si="0"/>
        <v>275600</v>
      </c>
    </row>
    <row r="32" spans="1:7" ht="23">
      <c r="A32" s="73">
        <v>25</v>
      </c>
      <c r="B32" s="74" t="s">
        <v>264</v>
      </c>
      <c r="C32" s="74" t="s">
        <v>289</v>
      </c>
      <c r="D32" s="75">
        <v>159</v>
      </c>
      <c r="E32" s="76">
        <v>205</v>
      </c>
      <c r="F32" s="76">
        <f t="shared" si="1"/>
        <v>46</v>
      </c>
      <c r="G32" s="77">
        <f>IF(F32&lt;=50,F32*350,IF(F32&lt;=100,F32*550,IF(F32&gt;100,F32*650)))</f>
        <v>16100</v>
      </c>
    </row>
    <row r="34" spans="2:6" ht="23">
      <c r="B34" s="236" t="s">
        <v>295</v>
      </c>
      <c r="C34" s="236"/>
      <c r="D34" s="236"/>
      <c r="E34" s="79"/>
      <c r="F34" s="79"/>
    </row>
    <row r="35" spans="2:6" ht="23">
      <c r="B35" s="236" t="s">
        <v>296</v>
      </c>
      <c r="C35" s="236"/>
      <c r="D35" s="236"/>
      <c r="E35" s="236"/>
      <c r="F35" s="236"/>
    </row>
  </sheetData>
  <mergeCells count="6">
    <mergeCell ref="A5:G5"/>
    <mergeCell ref="B34:D34"/>
    <mergeCell ref="B35:F35"/>
    <mergeCell ref="C3:E3"/>
    <mergeCell ref="C1:E2"/>
    <mergeCell ref="A4:C4"/>
  </mergeCells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77050-6FEF-4C18-8AF1-41E49F17699B}">
  <dimension ref="A1:J34"/>
  <sheetViews>
    <sheetView topLeftCell="A11" zoomScale="59" workbookViewId="0">
      <selection activeCell="L7" sqref="L7"/>
    </sheetView>
  </sheetViews>
  <sheetFormatPr defaultRowHeight="14.5"/>
  <cols>
    <col min="1" max="1" width="10.36328125" customWidth="1"/>
    <col min="2" max="2" width="17.54296875" customWidth="1"/>
    <col min="3" max="9" width="12" customWidth="1"/>
    <col min="10" max="10" width="13.36328125" customWidth="1"/>
  </cols>
  <sheetData>
    <row r="1" spans="1:10" s="81" customFormat="1" ht="22.5" customHeight="1">
      <c r="E1" s="263" t="s">
        <v>315</v>
      </c>
      <c r="F1" s="264"/>
    </row>
    <row r="2" spans="1:10" ht="24.5">
      <c r="D2" s="265" t="s">
        <v>316</v>
      </c>
      <c r="E2" s="266"/>
      <c r="F2" s="266"/>
      <c r="G2" s="266"/>
    </row>
    <row r="4" spans="1:10" ht="16.5" customHeight="1">
      <c r="A4" s="259" t="s">
        <v>317</v>
      </c>
      <c r="B4" s="259" t="s">
        <v>297</v>
      </c>
      <c r="C4" s="259" t="s">
        <v>298</v>
      </c>
      <c r="D4" s="261" t="s">
        <v>14</v>
      </c>
      <c r="E4" s="262"/>
      <c r="F4" s="261" t="s">
        <v>161</v>
      </c>
      <c r="G4" s="262"/>
      <c r="H4" s="259" t="s">
        <v>303</v>
      </c>
      <c r="I4" s="259" t="s">
        <v>304</v>
      </c>
      <c r="J4" s="259" t="s">
        <v>305</v>
      </c>
    </row>
    <row r="5" spans="1:10" ht="16">
      <c r="A5" s="260"/>
      <c r="B5" s="260"/>
      <c r="C5" s="260"/>
      <c r="D5" s="87" t="s">
        <v>299</v>
      </c>
      <c r="E5" s="88" t="s">
        <v>300</v>
      </c>
      <c r="F5" s="87" t="s">
        <v>301</v>
      </c>
      <c r="G5" s="88" t="s">
        <v>302</v>
      </c>
      <c r="H5" s="260"/>
      <c r="I5" s="260"/>
      <c r="J5" s="260"/>
    </row>
    <row r="6" spans="1:10" ht="23">
      <c r="A6" s="82">
        <v>1</v>
      </c>
      <c r="B6" s="83" t="s">
        <v>306</v>
      </c>
      <c r="C6" s="84">
        <v>50</v>
      </c>
      <c r="D6" s="85">
        <v>50</v>
      </c>
      <c r="E6" s="86">
        <f>C6*D6</f>
        <v>2500</v>
      </c>
      <c r="F6" s="85">
        <v>35</v>
      </c>
      <c r="G6" s="86">
        <f>F6*C6</f>
        <v>1750</v>
      </c>
      <c r="H6" s="85" t="str">
        <f>IF(G6&gt;E6,G6-E6,IF(G6&lt;E6,"_"))</f>
        <v>_</v>
      </c>
      <c r="I6" s="85">
        <f>IF(G6&lt;E6,E6-G6,IF(G6&gt;E6,"_"))</f>
        <v>750</v>
      </c>
      <c r="J6" s="83" t="str">
        <f>IF(G6&gt;E6,"PROFIT",IF(G6&lt;E6,"LOSS"))</f>
        <v>LOSS</v>
      </c>
    </row>
    <row r="7" spans="1:10" ht="23">
      <c r="A7" s="82">
        <v>2</v>
      </c>
      <c r="B7" s="83" t="s">
        <v>307</v>
      </c>
      <c r="C7" s="84">
        <v>60</v>
      </c>
      <c r="D7" s="85">
        <v>25</v>
      </c>
      <c r="E7" s="86">
        <f t="shared" ref="E7:E15" si="0">C7*D7</f>
        <v>1500</v>
      </c>
      <c r="F7" s="85">
        <v>30</v>
      </c>
      <c r="G7" s="86">
        <f t="shared" ref="G7:G15" si="1">F7*C7</f>
        <v>1800</v>
      </c>
      <c r="H7" s="85">
        <f t="shared" ref="H7:H8" si="2">IF(G7&gt;E7,G7-E7,IF(G7&lt;E7,"_"))</f>
        <v>300</v>
      </c>
      <c r="I7" s="85" t="str">
        <f t="shared" ref="I7:I15" si="3">IF(G7&lt;E7,E7-G7,IF(G7&gt;E7,"_"))</f>
        <v>_</v>
      </c>
      <c r="J7" s="83" t="str">
        <f t="shared" ref="J7:J15" si="4">IF(G7&gt;E7,"PROFIT",IF(G7&lt;E7,"LOSS"))</f>
        <v>PROFIT</v>
      </c>
    </row>
    <row r="8" spans="1:10" ht="23">
      <c r="A8" s="82">
        <v>3</v>
      </c>
      <c r="B8" s="83" t="s">
        <v>179</v>
      </c>
      <c r="C8" s="84">
        <v>10</v>
      </c>
      <c r="D8" s="85">
        <v>75</v>
      </c>
      <c r="E8" s="86">
        <f t="shared" si="0"/>
        <v>750</v>
      </c>
      <c r="F8" s="85">
        <v>90</v>
      </c>
      <c r="G8" s="86">
        <f t="shared" si="1"/>
        <v>900</v>
      </c>
      <c r="H8" s="85">
        <f t="shared" si="2"/>
        <v>150</v>
      </c>
      <c r="I8" s="85" t="str">
        <f t="shared" si="3"/>
        <v>_</v>
      </c>
      <c r="J8" s="83" t="str">
        <f t="shared" si="4"/>
        <v>PROFIT</v>
      </c>
    </row>
    <row r="9" spans="1:10" ht="23">
      <c r="A9" s="82">
        <v>4</v>
      </c>
      <c r="B9" s="83" t="s">
        <v>308</v>
      </c>
      <c r="C9" s="84">
        <v>80</v>
      </c>
      <c r="D9" s="85">
        <v>89</v>
      </c>
      <c r="E9" s="86">
        <f t="shared" si="0"/>
        <v>7120</v>
      </c>
      <c r="F9" s="85">
        <v>100</v>
      </c>
      <c r="G9" s="86">
        <f t="shared" si="1"/>
        <v>8000</v>
      </c>
      <c r="H9" s="85">
        <f t="shared" ref="H9:H15" si="5">IF(G9&gt;E9,G9-E9,IF(G9&lt;E9,"_"))</f>
        <v>880</v>
      </c>
      <c r="I9" s="85" t="str">
        <f t="shared" si="3"/>
        <v>_</v>
      </c>
      <c r="J9" s="83" t="str">
        <f t="shared" si="4"/>
        <v>PROFIT</v>
      </c>
    </row>
    <row r="10" spans="1:10" ht="23">
      <c r="A10" s="82">
        <v>5</v>
      </c>
      <c r="B10" s="83" t="s">
        <v>309</v>
      </c>
      <c r="C10" s="84">
        <v>50</v>
      </c>
      <c r="D10" s="85">
        <v>25</v>
      </c>
      <c r="E10" s="86">
        <f t="shared" si="0"/>
        <v>1250</v>
      </c>
      <c r="F10" s="85">
        <v>50</v>
      </c>
      <c r="G10" s="86">
        <f t="shared" si="1"/>
        <v>2500</v>
      </c>
      <c r="H10" s="85">
        <f t="shared" si="5"/>
        <v>1250</v>
      </c>
      <c r="I10" s="85" t="str">
        <f t="shared" si="3"/>
        <v>_</v>
      </c>
      <c r="J10" s="83" t="str">
        <f t="shared" si="4"/>
        <v>PROFIT</v>
      </c>
    </row>
    <row r="11" spans="1:10" ht="23">
      <c r="A11" s="82">
        <v>6</v>
      </c>
      <c r="B11" s="83" t="s">
        <v>310</v>
      </c>
      <c r="C11" s="84">
        <v>20</v>
      </c>
      <c r="D11" s="85">
        <v>65</v>
      </c>
      <c r="E11" s="86">
        <f t="shared" si="0"/>
        <v>1300</v>
      </c>
      <c r="F11" s="85">
        <v>50</v>
      </c>
      <c r="G11" s="86">
        <f t="shared" si="1"/>
        <v>1000</v>
      </c>
      <c r="H11" s="85" t="str">
        <f t="shared" si="5"/>
        <v>_</v>
      </c>
      <c r="I11" s="85">
        <f t="shared" si="3"/>
        <v>300</v>
      </c>
      <c r="J11" s="83" t="str">
        <f t="shared" si="4"/>
        <v>LOSS</v>
      </c>
    </row>
    <row r="12" spans="1:10" ht="23">
      <c r="A12" s="82">
        <v>7</v>
      </c>
      <c r="B12" s="83" t="s">
        <v>311</v>
      </c>
      <c r="C12" s="84">
        <v>35</v>
      </c>
      <c r="D12" s="85">
        <v>45</v>
      </c>
      <c r="E12" s="86">
        <f t="shared" si="0"/>
        <v>1575</v>
      </c>
      <c r="F12" s="85">
        <v>50</v>
      </c>
      <c r="G12" s="86">
        <f t="shared" si="1"/>
        <v>1750</v>
      </c>
      <c r="H12" s="85">
        <f t="shared" si="5"/>
        <v>175</v>
      </c>
      <c r="I12" s="85" t="str">
        <f t="shared" si="3"/>
        <v>_</v>
      </c>
      <c r="J12" s="83" t="str">
        <f t="shared" si="4"/>
        <v>PROFIT</v>
      </c>
    </row>
    <row r="13" spans="1:10" ht="23">
      <c r="A13" s="82">
        <v>8</v>
      </c>
      <c r="B13" s="83" t="s">
        <v>312</v>
      </c>
      <c r="C13" s="84">
        <v>45</v>
      </c>
      <c r="D13" s="85">
        <v>15</v>
      </c>
      <c r="E13" s="86">
        <f t="shared" si="0"/>
        <v>675</v>
      </c>
      <c r="F13" s="85">
        <v>8</v>
      </c>
      <c r="G13" s="86">
        <f t="shared" si="1"/>
        <v>360</v>
      </c>
      <c r="H13" s="85" t="str">
        <f t="shared" si="5"/>
        <v>_</v>
      </c>
      <c r="I13" s="85">
        <f t="shared" si="3"/>
        <v>315</v>
      </c>
      <c r="J13" s="83" t="str">
        <f t="shared" si="4"/>
        <v>LOSS</v>
      </c>
    </row>
    <row r="14" spans="1:10" ht="23">
      <c r="A14" s="82">
        <v>9</v>
      </c>
      <c r="B14" s="83" t="s">
        <v>313</v>
      </c>
      <c r="C14" s="84">
        <v>60</v>
      </c>
      <c r="D14" s="85">
        <v>30</v>
      </c>
      <c r="E14" s="86">
        <f t="shared" si="0"/>
        <v>1800</v>
      </c>
      <c r="F14" s="85">
        <v>35</v>
      </c>
      <c r="G14" s="86">
        <f t="shared" si="1"/>
        <v>2100</v>
      </c>
      <c r="H14" s="85">
        <f t="shared" si="5"/>
        <v>300</v>
      </c>
      <c r="I14" s="85" t="str">
        <f t="shared" si="3"/>
        <v>_</v>
      </c>
      <c r="J14" s="83" t="str">
        <f t="shared" si="4"/>
        <v>PROFIT</v>
      </c>
    </row>
    <row r="15" spans="1:10" ht="23">
      <c r="A15" s="82">
        <v>10</v>
      </c>
      <c r="B15" s="83" t="s">
        <v>314</v>
      </c>
      <c r="C15" s="84">
        <v>40</v>
      </c>
      <c r="D15" s="85">
        <v>20</v>
      </c>
      <c r="E15" s="86">
        <f t="shared" si="0"/>
        <v>800</v>
      </c>
      <c r="F15" s="85">
        <v>15</v>
      </c>
      <c r="G15" s="86">
        <f t="shared" si="1"/>
        <v>600</v>
      </c>
      <c r="H15" s="85" t="str">
        <f t="shared" si="5"/>
        <v>_</v>
      </c>
      <c r="I15" s="85">
        <f t="shared" si="3"/>
        <v>200</v>
      </c>
      <c r="J15" s="83" t="str">
        <f t="shared" si="4"/>
        <v>LOSS</v>
      </c>
    </row>
    <row r="16" spans="1:10">
      <c r="C16" s="258" t="s">
        <v>318</v>
      </c>
      <c r="D16" s="258"/>
      <c r="E16" s="258"/>
      <c r="F16" s="258"/>
      <c r="G16" s="258"/>
      <c r="H16" s="80"/>
      <c r="I16" s="80"/>
    </row>
    <row r="17" spans="1:10">
      <c r="C17" s="215" t="s">
        <v>319</v>
      </c>
      <c r="D17" s="215"/>
      <c r="E17" s="215"/>
      <c r="F17" s="215"/>
      <c r="G17" s="215"/>
      <c r="H17" s="80"/>
      <c r="I17" s="80"/>
    </row>
    <row r="18" spans="1:10">
      <c r="C18" s="215" t="s">
        <v>320</v>
      </c>
      <c r="D18" s="215"/>
      <c r="E18" s="215"/>
      <c r="F18" s="215"/>
      <c r="G18" s="215"/>
      <c r="H18" s="215"/>
      <c r="I18" s="215"/>
    </row>
    <row r="19" spans="1:10">
      <c r="C19" s="215" t="s">
        <v>321</v>
      </c>
      <c r="D19" s="215"/>
      <c r="E19" s="215"/>
      <c r="F19" s="215"/>
      <c r="G19" s="215"/>
      <c r="H19" s="215"/>
      <c r="I19" s="215"/>
    </row>
    <row r="20" spans="1:10">
      <c r="C20" s="215" t="s">
        <v>322</v>
      </c>
      <c r="D20" s="215"/>
      <c r="E20" s="215"/>
      <c r="F20" s="215"/>
      <c r="G20" s="215"/>
      <c r="H20" s="215"/>
      <c r="I20" s="215"/>
    </row>
    <row r="21" spans="1:10">
      <c r="A21" s="249" t="s">
        <v>323</v>
      </c>
      <c r="B21" s="249"/>
      <c r="C21" s="89"/>
      <c r="D21" s="89"/>
      <c r="E21" s="89"/>
      <c r="F21" s="89"/>
      <c r="G21" s="89"/>
      <c r="H21" s="89"/>
      <c r="I21" s="89"/>
      <c r="J21" s="89"/>
    </row>
    <row r="22" spans="1:10">
      <c r="A22" s="89"/>
      <c r="B22" s="90"/>
      <c r="C22" s="91"/>
      <c r="D22" s="91"/>
      <c r="E22" s="91"/>
      <c r="F22" s="91"/>
      <c r="G22" s="91"/>
      <c r="H22" s="250" t="s">
        <v>325</v>
      </c>
      <c r="I22" s="253">
        <v>812</v>
      </c>
      <c r="J22" s="254"/>
    </row>
    <row r="23" spans="1:10">
      <c r="A23" s="89"/>
      <c r="B23" s="90"/>
      <c r="C23" s="91"/>
      <c r="D23" s="257" t="s">
        <v>324</v>
      </c>
      <c r="E23" s="257"/>
      <c r="F23" s="91"/>
      <c r="G23" s="91"/>
      <c r="H23" s="251"/>
      <c r="I23" s="255"/>
      <c r="J23" s="256"/>
    </row>
    <row r="24" spans="1:10">
      <c r="A24" s="89"/>
      <c r="B24" s="90"/>
      <c r="C24" s="91"/>
      <c r="D24" s="257"/>
      <c r="E24" s="257"/>
      <c r="F24" s="91"/>
      <c r="G24" s="91"/>
      <c r="H24" s="252"/>
      <c r="I24" s="92"/>
      <c r="J24" s="93"/>
    </row>
    <row r="25" spans="1:10">
      <c r="A25" s="89"/>
      <c r="B25" s="94"/>
      <c r="C25" s="94"/>
      <c r="D25" s="94"/>
      <c r="E25" s="94"/>
      <c r="F25" s="94"/>
      <c r="G25" s="94"/>
      <c r="H25" s="94"/>
      <c r="I25" s="93"/>
      <c r="J25" s="93"/>
    </row>
    <row r="26" spans="1:10">
      <c r="A26" s="89"/>
      <c r="B26" s="93"/>
      <c r="C26" s="93"/>
      <c r="D26" s="93"/>
      <c r="E26" s="93"/>
      <c r="F26" s="93"/>
      <c r="G26" s="93"/>
      <c r="H26" s="93"/>
      <c r="I26" s="93"/>
      <c r="J26" s="93"/>
    </row>
    <row r="27" spans="1:10">
      <c r="A27" s="89"/>
      <c r="B27" s="93" t="s">
        <v>92</v>
      </c>
      <c r="C27" s="93"/>
      <c r="D27" s="93"/>
      <c r="E27" s="93"/>
      <c r="F27" s="93"/>
      <c r="G27" s="93"/>
      <c r="H27" s="93"/>
      <c r="I27" s="93" t="s">
        <v>331</v>
      </c>
      <c r="J27" s="93"/>
    </row>
    <row r="28" spans="1:10">
      <c r="A28" s="89"/>
      <c r="B28" s="93" t="s">
        <v>126</v>
      </c>
      <c r="C28" s="243" t="s">
        <v>328</v>
      </c>
      <c r="D28" s="244"/>
      <c r="E28" s="93"/>
      <c r="F28" s="93"/>
      <c r="G28" s="93"/>
      <c r="H28" s="93"/>
      <c r="I28" s="93" t="s">
        <v>332</v>
      </c>
      <c r="J28" s="95">
        <v>40872</v>
      </c>
    </row>
    <row r="29" spans="1:10">
      <c r="A29" s="89"/>
      <c r="B29" s="93" t="s">
        <v>237</v>
      </c>
      <c r="C29" s="243" t="s">
        <v>329</v>
      </c>
      <c r="D29" s="244"/>
      <c r="E29" s="93" t="s">
        <v>330</v>
      </c>
      <c r="F29" s="96">
        <v>855970000000</v>
      </c>
      <c r="G29" s="93"/>
      <c r="H29" s="93"/>
      <c r="I29" s="93" t="s">
        <v>333</v>
      </c>
      <c r="J29" s="93">
        <v>268791</v>
      </c>
    </row>
    <row r="30" spans="1:10">
      <c r="A30" s="89"/>
      <c r="B30" s="243"/>
      <c r="C30" s="245"/>
      <c r="D30" s="245"/>
      <c r="E30" s="245"/>
      <c r="F30" s="245"/>
      <c r="G30" s="245"/>
      <c r="H30" s="245"/>
      <c r="I30" s="245"/>
      <c r="J30" s="244"/>
    </row>
    <row r="31" spans="1:10">
      <c r="A31" s="89"/>
      <c r="B31" s="93" t="s">
        <v>326</v>
      </c>
      <c r="C31" s="243" t="s">
        <v>297</v>
      </c>
      <c r="D31" s="244"/>
      <c r="E31" s="93" t="s">
        <v>30</v>
      </c>
      <c r="F31" s="243" t="s">
        <v>335</v>
      </c>
      <c r="G31" s="245"/>
      <c r="H31" s="244"/>
      <c r="I31" s="243" t="s">
        <v>90</v>
      </c>
      <c r="J31" s="244"/>
    </row>
    <row r="32" spans="1:10">
      <c r="A32" s="89"/>
      <c r="B32" s="93" t="s">
        <v>327</v>
      </c>
      <c r="C32" s="243" t="s">
        <v>334</v>
      </c>
      <c r="D32" s="244"/>
      <c r="E32" s="93">
        <v>150</v>
      </c>
      <c r="F32" s="246">
        <v>100</v>
      </c>
      <c r="G32" s="247"/>
      <c r="H32" s="248"/>
      <c r="I32" s="246">
        <f>E32*F32</f>
        <v>15000</v>
      </c>
      <c r="J32" s="248"/>
    </row>
    <row r="33" spans="1:10">
      <c r="A33" s="89"/>
      <c r="B33" s="93"/>
      <c r="C33" s="93"/>
      <c r="D33" s="93"/>
      <c r="E33" s="93"/>
      <c r="F33" s="93"/>
      <c r="G33" s="93"/>
      <c r="H33" s="93"/>
      <c r="I33" s="93"/>
      <c r="J33" s="93"/>
    </row>
    <row r="34" spans="1:10">
      <c r="A34" s="89"/>
      <c r="B34" s="89"/>
      <c r="C34" s="89"/>
      <c r="D34" s="89"/>
      <c r="E34" s="89"/>
      <c r="F34" s="241" t="s">
        <v>89</v>
      </c>
      <c r="G34" s="242"/>
      <c r="H34" s="97" t="s">
        <v>336</v>
      </c>
      <c r="I34" s="89"/>
      <c r="J34" s="89"/>
    </row>
  </sheetData>
  <mergeCells count="29">
    <mergeCell ref="H4:H5"/>
    <mergeCell ref="I4:I5"/>
    <mergeCell ref="J4:J5"/>
    <mergeCell ref="E1:F1"/>
    <mergeCell ref="D2:G2"/>
    <mergeCell ref="A4:A5"/>
    <mergeCell ref="B4:B5"/>
    <mergeCell ref="C4:C5"/>
    <mergeCell ref="D4:E4"/>
    <mergeCell ref="F4:G4"/>
    <mergeCell ref="C16:G16"/>
    <mergeCell ref="C17:G17"/>
    <mergeCell ref="C18:I18"/>
    <mergeCell ref="C19:I19"/>
    <mergeCell ref="C20:I20"/>
    <mergeCell ref="I31:J31"/>
    <mergeCell ref="I32:J32"/>
    <mergeCell ref="A21:B21"/>
    <mergeCell ref="H22:H24"/>
    <mergeCell ref="I22:J23"/>
    <mergeCell ref="B30:J30"/>
    <mergeCell ref="D23:E24"/>
    <mergeCell ref="C28:D28"/>
    <mergeCell ref="C29:D29"/>
    <mergeCell ref="F34:G34"/>
    <mergeCell ref="C31:D31"/>
    <mergeCell ref="C32:D32"/>
    <mergeCell ref="F31:H31"/>
    <mergeCell ref="F32:H32"/>
  </mergeCells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774E5-7113-4CBB-9362-B4F746ECADA8}">
  <dimension ref="A1:I26"/>
  <sheetViews>
    <sheetView topLeftCell="F7" zoomScale="68" workbookViewId="0">
      <selection activeCell="B25" sqref="B25:I25"/>
    </sheetView>
  </sheetViews>
  <sheetFormatPr defaultRowHeight="14.5"/>
  <cols>
    <col min="2" max="2" width="15.26953125" style="2" customWidth="1"/>
    <col min="3" max="3" width="19.7265625" customWidth="1"/>
    <col min="4" max="4" width="18.36328125" customWidth="1"/>
    <col min="5" max="5" width="14" customWidth="1"/>
    <col min="6" max="6" width="15.36328125" customWidth="1"/>
    <col min="7" max="7" width="14" customWidth="1"/>
    <col min="8" max="8" width="15.1796875" customWidth="1"/>
    <col min="9" max="9" width="14" customWidth="1"/>
  </cols>
  <sheetData>
    <row r="1" spans="1:9" ht="20.149999999999999" customHeight="1">
      <c r="D1" s="267" t="s">
        <v>344</v>
      </c>
      <c r="E1" s="266"/>
      <c r="F1" s="266"/>
    </row>
    <row r="2" spans="1:9" ht="20.149999999999999" customHeight="1">
      <c r="D2" s="268" t="s">
        <v>345</v>
      </c>
      <c r="E2" s="269"/>
      <c r="F2" s="269"/>
    </row>
    <row r="3" spans="1:9" ht="23">
      <c r="A3" s="98" t="s">
        <v>103</v>
      </c>
      <c r="B3" s="98" t="s">
        <v>337</v>
      </c>
      <c r="C3" s="98" t="s">
        <v>338</v>
      </c>
      <c r="D3" s="98" t="s">
        <v>339</v>
      </c>
      <c r="E3" s="98" t="s">
        <v>340</v>
      </c>
      <c r="F3" s="98" t="s">
        <v>341</v>
      </c>
      <c r="G3" s="98" t="s">
        <v>342</v>
      </c>
      <c r="H3" s="98" t="s">
        <v>343</v>
      </c>
      <c r="I3" s="98" t="s">
        <v>108</v>
      </c>
    </row>
    <row r="4" spans="1:9" ht="23">
      <c r="A4" s="44">
        <v>1</v>
      </c>
      <c r="B4" s="101" t="s">
        <v>346</v>
      </c>
      <c r="C4" s="102">
        <v>40545</v>
      </c>
      <c r="D4" s="103">
        <v>45301</v>
      </c>
      <c r="E4" s="45" t="s">
        <v>1</v>
      </c>
      <c r="F4" s="45">
        <v>8</v>
      </c>
      <c r="G4" s="48">
        <f>IF(E4="A",F4*$C$18,IF(E4="B",F4*$C$19,IF(E4="C",F4*$C$20,IF(E4="D",F4*$C$21,IF(E4="E",F4*C21)))))</f>
        <v>720</v>
      </c>
      <c r="H4" s="104">
        <f>IF(E4="A",G4*$D$18,IF(E4="B",G4*$D$19,IF(E4="C",G4*$D$20,IF(E4="D",G4*$D$21,IF(E4="E",G4*$D$22)))))</f>
        <v>86.399999999999991</v>
      </c>
      <c r="I4" s="48">
        <f>SUM(G4:H4)</f>
        <v>806.4</v>
      </c>
    </row>
    <row r="5" spans="1:9" ht="23">
      <c r="A5" s="44">
        <v>2</v>
      </c>
      <c r="B5" s="101" t="s">
        <v>347</v>
      </c>
      <c r="C5" s="102">
        <v>40579</v>
      </c>
      <c r="D5" s="103">
        <v>45347</v>
      </c>
      <c r="E5" s="45" t="s">
        <v>2</v>
      </c>
      <c r="F5" s="45">
        <v>20</v>
      </c>
      <c r="G5" s="48">
        <f>IF(E5="A",F5*$C$18,IF(E5="B",F5*$C$19,IF(E5="C",F5*$C$20,IF(E5="D",F5*$C$21,IF(E5="E",F5*C22)))))</f>
        <v>1400</v>
      </c>
      <c r="H5" s="104">
        <f t="shared" ref="H5:H15" si="0">IF(E5="A",G5*$D$18,IF(E5="B",G5*$D$19,IF(E5="C",G5*$D$20,IF(E5="D",G5*$D$21,IF(E5="E",G5*$D$22)))))</f>
        <v>126</v>
      </c>
      <c r="I5" s="48">
        <f t="shared" ref="I5:I15" si="1">SUM(G5:H5)</f>
        <v>1526</v>
      </c>
    </row>
    <row r="6" spans="1:9" ht="23">
      <c r="A6" s="44">
        <v>3</v>
      </c>
      <c r="B6" s="101" t="s">
        <v>208</v>
      </c>
      <c r="C6" s="102">
        <v>40608</v>
      </c>
      <c r="D6" s="103">
        <v>45372</v>
      </c>
      <c r="E6" s="45" t="s">
        <v>3</v>
      </c>
      <c r="F6" s="45">
        <v>15</v>
      </c>
      <c r="G6" s="48">
        <f t="shared" ref="G6:G15" si="2">IF(E6="A",F6*$C$18,IF(E6="B",F6*$C$19,IF(E6="C",F6*$C$20,IF(E6="D",F6*$C$21,IF(E6="E",F6*C23)))))</f>
        <v>750</v>
      </c>
      <c r="H6" s="104">
        <f t="shared" si="0"/>
        <v>52.500000000000007</v>
      </c>
      <c r="I6" s="48">
        <f t="shared" si="1"/>
        <v>802.5</v>
      </c>
    </row>
    <row r="7" spans="1:9" ht="23">
      <c r="A7" s="44">
        <v>4</v>
      </c>
      <c r="B7" s="101" t="s">
        <v>348</v>
      </c>
      <c r="C7" s="103">
        <v>45419</v>
      </c>
      <c r="D7" s="103">
        <v>45450</v>
      </c>
      <c r="E7" s="45" t="s">
        <v>1</v>
      </c>
      <c r="F7" s="45">
        <v>31</v>
      </c>
      <c r="G7" s="48">
        <f t="shared" si="2"/>
        <v>2790</v>
      </c>
      <c r="H7" s="104">
        <f t="shared" si="0"/>
        <v>334.8</v>
      </c>
      <c r="I7" s="48">
        <f t="shared" si="1"/>
        <v>3124.8</v>
      </c>
    </row>
    <row r="8" spans="1:9" ht="23">
      <c r="A8" s="44">
        <v>5</v>
      </c>
      <c r="B8" s="101" t="s">
        <v>210</v>
      </c>
      <c r="C8" s="103">
        <v>45451</v>
      </c>
      <c r="D8" s="103">
        <v>45499</v>
      </c>
      <c r="E8" s="45" t="s">
        <v>5</v>
      </c>
      <c r="F8" s="45">
        <v>48</v>
      </c>
      <c r="G8" s="48">
        <f>IF(E8="A",F8*$C$18,IF(E8="B",F8*$C$19,IF(E8="C",F8*$C$20,IF(E8="D",F8*$C$21,IF(E8="E",F8*C22)))))</f>
        <v>960</v>
      </c>
      <c r="H8" s="104">
        <f t="shared" si="0"/>
        <v>28.799999999999997</v>
      </c>
      <c r="I8" s="48">
        <f t="shared" si="1"/>
        <v>988.8</v>
      </c>
    </row>
    <row r="9" spans="1:9" ht="23">
      <c r="A9" s="44">
        <v>6</v>
      </c>
      <c r="B9" s="101" t="s">
        <v>349</v>
      </c>
      <c r="C9" s="103">
        <v>45452</v>
      </c>
      <c r="D9" s="103">
        <v>45487</v>
      </c>
      <c r="E9" s="45" t="s">
        <v>4</v>
      </c>
      <c r="F9" s="45">
        <v>35</v>
      </c>
      <c r="G9" s="48">
        <f t="shared" si="2"/>
        <v>1225</v>
      </c>
      <c r="H9" s="104">
        <f t="shared" si="0"/>
        <v>61.25</v>
      </c>
      <c r="I9" s="48">
        <f t="shared" si="1"/>
        <v>1286.25</v>
      </c>
    </row>
    <row r="10" spans="1:9" ht="23">
      <c r="A10" s="44">
        <v>7</v>
      </c>
      <c r="B10" s="101" t="s">
        <v>212</v>
      </c>
      <c r="C10" s="103">
        <v>45455</v>
      </c>
      <c r="D10" s="103">
        <v>45505</v>
      </c>
      <c r="E10" s="45" t="s">
        <v>4</v>
      </c>
      <c r="F10" s="45">
        <v>50</v>
      </c>
      <c r="G10" s="48">
        <f t="shared" si="2"/>
        <v>1750</v>
      </c>
      <c r="H10" s="104">
        <f t="shared" si="0"/>
        <v>87.5</v>
      </c>
      <c r="I10" s="48">
        <f t="shared" si="1"/>
        <v>1837.5</v>
      </c>
    </row>
    <row r="11" spans="1:9" ht="23">
      <c r="A11" s="44">
        <v>8</v>
      </c>
      <c r="B11" s="101" t="s">
        <v>350</v>
      </c>
      <c r="C11" s="103">
        <v>45509</v>
      </c>
      <c r="D11" s="103">
        <v>45514</v>
      </c>
      <c r="E11" s="45" t="s">
        <v>2</v>
      </c>
      <c r="F11" s="45">
        <v>5</v>
      </c>
      <c r="G11" s="48">
        <f t="shared" si="2"/>
        <v>350</v>
      </c>
      <c r="H11" s="104">
        <f t="shared" si="0"/>
        <v>31.5</v>
      </c>
      <c r="I11" s="48">
        <f t="shared" si="1"/>
        <v>381.5</v>
      </c>
    </row>
    <row r="12" spans="1:9" ht="23">
      <c r="A12" s="44">
        <v>9</v>
      </c>
      <c r="B12" s="101" t="s">
        <v>220</v>
      </c>
      <c r="C12" s="103">
        <v>45519</v>
      </c>
      <c r="D12" s="103">
        <v>45566</v>
      </c>
      <c r="E12" s="45" t="s">
        <v>2</v>
      </c>
      <c r="F12" s="45">
        <v>47</v>
      </c>
      <c r="G12" s="48">
        <f t="shared" si="2"/>
        <v>3290</v>
      </c>
      <c r="H12" s="104">
        <f t="shared" si="0"/>
        <v>296.09999999999997</v>
      </c>
      <c r="I12" s="48">
        <f t="shared" si="1"/>
        <v>3586.1</v>
      </c>
    </row>
    <row r="13" spans="1:9" ht="23">
      <c r="A13" s="44">
        <v>10</v>
      </c>
      <c r="B13" s="101" t="s">
        <v>221</v>
      </c>
      <c r="C13" s="103">
        <v>45536</v>
      </c>
      <c r="D13" s="103">
        <v>45580</v>
      </c>
      <c r="E13" s="45" t="s">
        <v>5</v>
      </c>
      <c r="F13" s="45">
        <v>44</v>
      </c>
      <c r="G13" s="48">
        <f>IF(E13="A",F13*$C$18,IF(E13="B",F13*$C$19,IF(E13="C",F13*$C$20,IF(E13="D",F13*$C$21,IF(E13="E",F13*C22)))))</f>
        <v>880</v>
      </c>
      <c r="H13" s="104">
        <f t="shared" si="0"/>
        <v>26.4</v>
      </c>
      <c r="I13" s="48">
        <f t="shared" si="1"/>
        <v>906.4</v>
      </c>
    </row>
    <row r="14" spans="1:9" ht="23">
      <c r="A14" s="44">
        <v>11</v>
      </c>
      <c r="B14" s="101" t="s">
        <v>222</v>
      </c>
      <c r="C14" s="103">
        <v>45540</v>
      </c>
      <c r="D14" s="103">
        <v>45547</v>
      </c>
      <c r="E14" s="45" t="s">
        <v>3</v>
      </c>
      <c r="F14" s="45">
        <v>7</v>
      </c>
      <c r="G14" s="48">
        <f t="shared" si="2"/>
        <v>350</v>
      </c>
      <c r="H14" s="104">
        <f t="shared" si="0"/>
        <v>24.500000000000004</v>
      </c>
      <c r="I14" s="48">
        <f t="shared" si="1"/>
        <v>374.5</v>
      </c>
    </row>
    <row r="15" spans="1:9" ht="23">
      <c r="A15" s="44">
        <v>12</v>
      </c>
      <c r="B15" s="101" t="s">
        <v>351</v>
      </c>
      <c r="C15" s="103">
        <v>45555</v>
      </c>
      <c r="D15" s="103">
        <v>45569</v>
      </c>
      <c r="E15" s="45" t="s">
        <v>1</v>
      </c>
      <c r="F15" s="45">
        <v>14</v>
      </c>
      <c r="G15" s="48">
        <f t="shared" si="2"/>
        <v>1260</v>
      </c>
      <c r="H15" s="104">
        <f t="shared" si="0"/>
        <v>151.19999999999999</v>
      </c>
      <c r="I15" s="48">
        <f t="shared" si="1"/>
        <v>1411.2</v>
      </c>
    </row>
    <row r="17" spans="2:9" ht="23">
      <c r="B17" s="45" t="s">
        <v>340</v>
      </c>
      <c r="C17" s="44" t="s">
        <v>397</v>
      </c>
      <c r="D17" s="44" t="s">
        <v>398</v>
      </c>
    </row>
    <row r="18" spans="2:9" ht="23">
      <c r="B18" s="45" t="s">
        <v>1</v>
      </c>
      <c r="C18" s="46">
        <v>90</v>
      </c>
      <c r="D18" s="105">
        <v>0.12</v>
      </c>
    </row>
    <row r="19" spans="2:9" ht="23">
      <c r="B19" s="45" t="s">
        <v>2</v>
      </c>
      <c r="C19" s="46">
        <v>70</v>
      </c>
      <c r="D19" s="105">
        <v>0.09</v>
      </c>
    </row>
    <row r="20" spans="2:9" ht="23">
      <c r="B20" s="45" t="s">
        <v>3</v>
      </c>
      <c r="C20" s="46">
        <v>50</v>
      </c>
      <c r="D20" s="105">
        <v>7.0000000000000007E-2</v>
      </c>
    </row>
    <row r="21" spans="2:9" ht="23">
      <c r="B21" s="45" t="s">
        <v>4</v>
      </c>
      <c r="C21" s="46">
        <v>35</v>
      </c>
      <c r="D21" s="105">
        <v>0.05</v>
      </c>
    </row>
    <row r="22" spans="2:9" ht="23">
      <c r="B22" s="45" t="s">
        <v>4</v>
      </c>
      <c r="C22" s="46">
        <v>20</v>
      </c>
      <c r="D22" s="105">
        <v>0.03</v>
      </c>
    </row>
    <row r="24" spans="2:9">
      <c r="B24" s="270" t="s">
        <v>399</v>
      </c>
      <c r="C24" s="270"/>
      <c r="D24" s="270"/>
      <c r="E24" s="270"/>
      <c r="F24" s="270"/>
      <c r="G24" s="270"/>
      <c r="H24" s="270"/>
      <c r="I24" s="270"/>
    </row>
    <row r="25" spans="2:9">
      <c r="B25" s="270" t="s">
        <v>400</v>
      </c>
      <c r="C25" s="270"/>
      <c r="D25" s="270"/>
      <c r="E25" s="270"/>
      <c r="F25" s="270"/>
      <c r="G25" s="270"/>
      <c r="H25" s="270"/>
      <c r="I25" s="270"/>
    </row>
    <row r="26" spans="2:9">
      <c r="B26" s="270" t="s">
        <v>401</v>
      </c>
      <c r="C26" s="270"/>
      <c r="D26" s="270"/>
    </row>
  </sheetData>
  <mergeCells count="5">
    <mergeCell ref="D1:F1"/>
    <mergeCell ref="D2:F2"/>
    <mergeCell ref="B24:I24"/>
    <mergeCell ref="B25:I25"/>
    <mergeCell ref="B26:D26"/>
  </mergeCells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A6FC7-781D-4F27-A99C-9F3169F1494A}">
  <dimension ref="A1:I40"/>
  <sheetViews>
    <sheetView zoomScale="93" zoomScaleNormal="100" workbookViewId="0">
      <selection activeCell="AW72" sqref="AW72"/>
    </sheetView>
  </sheetViews>
  <sheetFormatPr defaultRowHeight="14.5"/>
  <cols>
    <col min="2" max="2" width="16.54296875" customWidth="1"/>
    <col min="3" max="4" width="17.54296875" customWidth="1"/>
    <col min="5" max="5" width="16.26953125" customWidth="1"/>
    <col min="6" max="6" width="19" customWidth="1"/>
    <col min="7" max="7" width="16" customWidth="1"/>
    <col min="8" max="8" width="20.36328125" customWidth="1"/>
  </cols>
  <sheetData>
    <row r="1" spans="1:9">
      <c r="A1" s="26"/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352</v>
      </c>
    </row>
    <row r="2" spans="1:9" ht="17.5">
      <c r="A2" s="26">
        <v>1</v>
      </c>
      <c r="B2" s="58"/>
      <c r="C2" s="58"/>
      <c r="D2" s="273" t="s">
        <v>363</v>
      </c>
      <c r="E2" s="274"/>
      <c r="F2" s="274"/>
      <c r="G2" s="58"/>
      <c r="H2" s="58"/>
      <c r="I2" s="26"/>
    </row>
    <row r="3" spans="1:9">
      <c r="A3" s="26">
        <v>2</v>
      </c>
      <c r="B3" s="58"/>
      <c r="C3" s="58"/>
      <c r="D3" s="58"/>
      <c r="E3" s="58"/>
      <c r="F3" s="58"/>
      <c r="G3" s="58"/>
      <c r="H3" s="58"/>
      <c r="I3" s="26"/>
    </row>
    <row r="4" spans="1:9" ht="23">
      <c r="A4" s="26">
        <v>3</v>
      </c>
      <c r="B4" s="271" t="s">
        <v>353</v>
      </c>
      <c r="C4" s="272"/>
      <c r="D4" s="272"/>
      <c r="E4" s="163"/>
      <c r="F4" s="58"/>
      <c r="G4" s="58"/>
      <c r="H4" s="58"/>
      <c r="I4" s="26"/>
    </row>
    <row r="5" spans="1:9" ht="23">
      <c r="A5" s="26">
        <v>4</v>
      </c>
      <c r="B5" s="271" t="s">
        <v>354</v>
      </c>
      <c r="C5" s="272"/>
      <c r="D5" s="272"/>
      <c r="E5" s="163"/>
      <c r="F5" s="58"/>
      <c r="G5" s="58"/>
      <c r="H5" s="58"/>
      <c r="I5" s="26"/>
    </row>
    <row r="6" spans="1:9" ht="23">
      <c r="A6" s="26">
        <v>5</v>
      </c>
      <c r="B6" s="271" t="s">
        <v>357</v>
      </c>
      <c r="C6" s="272"/>
      <c r="D6" s="272"/>
      <c r="E6" s="163"/>
      <c r="F6" s="58"/>
      <c r="G6" s="58"/>
      <c r="H6" s="58"/>
      <c r="I6" s="26"/>
    </row>
    <row r="7" spans="1:9" ht="23">
      <c r="A7" s="26">
        <v>6</v>
      </c>
      <c r="B7" s="271" t="s">
        <v>358</v>
      </c>
      <c r="C7" s="272"/>
      <c r="D7" s="272"/>
      <c r="E7" s="163"/>
      <c r="F7" s="58"/>
      <c r="G7" s="58"/>
      <c r="H7" s="58"/>
      <c r="I7" s="26"/>
    </row>
    <row r="8" spans="1:9" ht="23">
      <c r="A8" s="26">
        <v>7</v>
      </c>
      <c r="B8" s="271" t="s">
        <v>355</v>
      </c>
      <c r="C8" s="272"/>
      <c r="D8" s="272"/>
      <c r="E8" s="163"/>
      <c r="F8" s="58"/>
      <c r="G8" s="58"/>
      <c r="H8" s="58"/>
      <c r="I8" s="26"/>
    </row>
    <row r="9" spans="1:9" ht="23">
      <c r="A9" s="26">
        <v>8</v>
      </c>
      <c r="B9" s="165" t="s">
        <v>356</v>
      </c>
      <c r="C9" s="166"/>
      <c r="D9" s="166"/>
      <c r="E9" s="164"/>
      <c r="F9" s="99"/>
      <c r="G9" s="99"/>
      <c r="H9" s="100"/>
      <c r="I9" s="26"/>
    </row>
    <row r="10" spans="1:9" ht="23">
      <c r="A10" s="26">
        <v>9</v>
      </c>
      <c r="B10" s="106" t="s">
        <v>192</v>
      </c>
      <c r="C10" s="106" t="s">
        <v>126</v>
      </c>
      <c r="D10" s="106" t="s">
        <v>127</v>
      </c>
      <c r="E10" s="106" t="s">
        <v>359</v>
      </c>
      <c r="F10" s="106" t="s">
        <v>360</v>
      </c>
      <c r="G10" s="106" t="s">
        <v>361</v>
      </c>
      <c r="H10" s="106" t="s">
        <v>362</v>
      </c>
      <c r="I10" s="26"/>
    </row>
    <row r="11" spans="1:9" ht="26">
      <c r="A11" s="26">
        <v>10</v>
      </c>
      <c r="B11" s="107">
        <v>1</v>
      </c>
      <c r="C11" s="83" t="s">
        <v>364</v>
      </c>
      <c r="D11" s="108" t="s">
        <v>331</v>
      </c>
      <c r="E11" s="109">
        <v>35347</v>
      </c>
      <c r="F11" s="83" t="s">
        <v>388</v>
      </c>
      <c r="G11" s="110">
        <v>20</v>
      </c>
      <c r="H11" s="111">
        <f>IF(D11="MALE",E11+60*365.25,E11+55*365.25)</f>
        <v>57262</v>
      </c>
      <c r="I11" s="26"/>
    </row>
    <row r="12" spans="1:9" ht="26">
      <c r="A12" s="26">
        <v>11</v>
      </c>
      <c r="B12" s="107">
        <v>2</v>
      </c>
      <c r="C12" s="83" t="s">
        <v>365</v>
      </c>
      <c r="D12" s="108" t="s">
        <v>331</v>
      </c>
      <c r="E12" s="109">
        <v>32582</v>
      </c>
      <c r="F12" s="83" t="s">
        <v>388</v>
      </c>
      <c r="G12" s="110">
        <v>28</v>
      </c>
      <c r="H12" s="111">
        <f>IF(D12="MALE",E12+60*365.25,E12+55*365.25)</f>
        <v>54497</v>
      </c>
      <c r="I12" s="26"/>
    </row>
    <row r="13" spans="1:9" ht="26">
      <c r="A13" s="26">
        <v>12</v>
      </c>
      <c r="B13" s="107">
        <v>3</v>
      </c>
      <c r="C13" s="83" t="s">
        <v>366</v>
      </c>
      <c r="D13" s="108" t="s">
        <v>331</v>
      </c>
      <c r="E13" s="109">
        <v>32267</v>
      </c>
      <c r="F13" s="83" t="s">
        <v>389</v>
      </c>
      <c r="G13" s="110">
        <v>28</v>
      </c>
      <c r="H13" s="111">
        <f t="shared" ref="H13:H35" si="0">IF(D13="MALE",E13+60*365.25,E13+55*365.25)</f>
        <v>54182</v>
      </c>
      <c r="I13" s="26"/>
    </row>
    <row r="14" spans="1:9" ht="26">
      <c r="A14" s="26">
        <v>13</v>
      </c>
      <c r="B14" s="107">
        <v>4</v>
      </c>
      <c r="C14" s="83" t="s">
        <v>367</v>
      </c>
      <c r="D14" s="108" t="s">
        <v>331</v>
      </c>
      <c r="E14" s="109">
        <v>34039</v>
      </c>
      <c r="F14" s="83" t="s">
        <v>390</v>
      </c>
      <c r="G14" s="110">
        <v>24</v>
      </c>
      <c r="H14" s="111">
        <f t="shared" si="0"/>
        <v>55954</v>
      </c>
      <c r="I14" s="26"/>
    </row>
    <row r="15" spans="1:9" ht="26">
      <c r="A15" s="26">
        <v>14</v>
      </c>
      <c r="B15" s="107">
        <v>5</v>
      </c>
      <c r="C15" s="83" t="s">
        <v>368</v>
      </c>
      <c r="D15" s="108" t="s">
        <v>387</v>
      </c>
      <c r="E15" s="109">
        <v>34223</v>
      </c>
      <c r="F15" s="83" t="s">
        <v>391</v>
      </c>
      <c r="G15" s="110">
        <v>19</v>
      </c>
      <c r="H15" s="111">
        <f t="shared" si="0"/>
        <v>54311.75</v>
      </c>
      <c r="I15" s="26"/>
    </row>
    <row r="16" spans="1:9" ht="26">
      <c r="A16" s="26">
        <v>15</v>
      </c>
      <c r="B16" s="107">
        <v>6</v>
      </c>
      <c r="C16" s="83" t="s">
        <v>369</v>
      </c>
      <c r="D16" s="108" t="s">
        <v>387</v>
      </c>
      <c r="E16" s="109">
        <v>35685</v>
      </c>
      <c r="F16" s="83" t="s">
        <v>391</v>
      </c>
      <c r="G16" s="110">
        <v>19</v>
      </c>
      <c r="H16" s="111">
        <f t="shared" si="0"/>
        <v>55773.75</v>
      </c>
      <c r="I16" s="26"/>
    </row>
    <row r="17" spans="1:9" ht="26">
      <c r="A17" s="26">
        <v>16</v>
      </c>
      <c r="B17" s="107">
        <v>7</v>
      </c>
      <c r="C17" s="83" t="s">
        <v>67</v>
      </c>
      <c r="D17" s="108" t="s">
        <v>331</v>
      </c>
      <c r="E17" s="109">
        <v>35647</v>
      </c>
      <c r="F17" s="83" t="s">
        <v>388</v>
      </c>
      <c r="G17" s="110">
        <v>30</v>
      </c>
      <c r="H17" s="111">
        <f t="shared" si="0"/>
        <v>57562</v>
      </c>
      <c r="I17" s="26"/>
    </row>
    <row r="18" spans="1:9" ht="26">
      <c r="A18" s="26">
        <v>17</v>
      </c>
      <c r="B18" s="107">
        <v>8</v>
      </c>
      <c r="C18" s="83" t="s">
        <v>370</v>
      </c>
      <c r="D18" s="108" t="s">
        <v>387</v>
      </c>
      <c r="E18" s="109">
        <v>31647</v>
      </c>
      <c r="F18" s="83" t="s">
        <v>391</v>
      </c>
      <c r="G18" s="110">
        <v>20</v>
      </c>
      <c r="H18" s="111">
        <f t="shared" si="0"/>
        <v>51735.75</v>
      </c>
      <c r="I18" s="26"/>
    </row>
    <row r="19" spans="1:9" ht="26">
      <c r="A19" s="26">
        <v>18</v>
      </c>
      <c r="B19" s="107">
        <v>9</v>
      </c>
      <c r="C19" s="83" t="s">
        <v>371</v>
      </c>
      <c r="D19" s="108" t="s">
        <v>331</v>
      </c>
      <c r="E19" s="109">
        <v>35392</v>
      </c>
      <c r="F19" s="83" t="s">
        <v>392</v>
      </c>
      <c r="G19" s="110">
        <v>21</v>
      </c>
      <c r="H19" s="111">
        <f t="shared" si="0"/>
        <v>57307</v>
      </c>
      <c r="I19" s="26"/>
    </row>
    <row r="20" spans="1:9" ht="26">
      <c r="A20" s="26">
        <v>19</v>
      </c>
      <c r="B20" s="107">
        <v>10</v>
      </c>
      <c r="C20" s="83" t="s">
        <v>372</v>
      </c>
      <c r="D20" s="108" t="s">
        <v>387</v>
      </c>
      <c r="E20" s="109">
        <v>34972</v>
      </c>
      <c r="F20" s="83" t="s">
        <v>391</v>
      </c>
      <c r="G20" s="110">
        <v>20</v>
      </c>
      <c r="H20" s="111">
        <f t="shared" si="0"/>
        <v>55060.75</v>
      </c>
      <c r="I20" s="26"/>
    </row>
    <row r="21" spans="1:9" ht="26">
      <c r="A21" s="26">
        <v>20</v>
      </c>
      <c r="B21" s="107">
        <v>11</v>
      </c>
      <c r="C21" s="83" t="s">
        <v>373</v>
      </c>
      <c r="D21" s="108" t="s">
        <v>331</v>
      </c>
      <c r="E21" s="109">
        <v>35419</v>
      </c>
      <c r="F21" s="83" t="s">
        <v>392</v>
      </c>
      <c r="G21" s="110">
        <v>28</v>
      </c>
      <c r="H21" s="111">
        <f t="shared" si="0"/>
        <v>57334</v>
      </c>
      <c r="I21" s="26"/>
    </row>
    <row r="22" spans="1:9" ht="26">
      <c r="A22" s="26">
        <v>21</v>
      </c>
      <c r="B22" s="107">
        <v>12</v>
      </c>
      <c r="C22" s="83" t="s">
        <v>374</v>
      </c>
      <c r="D22" s="108" t="s">
        <v>331</v>
      </c>
      <c r="E22" s="109">
        <v>32298</v>
      </c>
      <c r="F22" s="83" t="s">
        <v>392</v>
      </c>
      <c r="G22" s="110">
        <v>21</v>
      </c>
      <c r="H22" s="111">
        <f t="shared" si="0"/>
        <v>54213</v>
      </c>
      <c r="I22" s="26"/>
    </row>
    <row r="23" spans="1:9" ht="26">
      <c r="A23" s="26">
        <v>22</v>
      </c>
      <c r="B23" s="107">
        <v>13</v>
      </c>
      <c r="C23" s="83" t="s">
        <v>375</v>
      </c>
      <c r="D23" s="108" t="s">
        <v>387</v>
      </c>
      <c r="E23" s="109">
        <v>34871</v>
      </c>
      <c r="F23" s="83" t="s">
        <v>391</v>
      </c>
      <c r="G23" s="110">
        <v>20</v>
      </c>
      <c r="H23" s="111">
        <f t="shared" si="0"/>
        <v>54959.75</v>
      </c>
      <c r="I23" s="26"/>
    </row>
    <row r="24" spans="1:9" ht="26">
      <c r="A24" s="26">
        <v>23</v>
      </c>
      <c r="B24" s="107">
        <v>14</v>
      </c>
      <c r="C24" s="83" t="s">
        <v>376</v>
      </c>
      <c r="D24" s="108" t="s">
        <v>331</v>
      </c>
      <c r="E24" s="109">
        <v>35168</v>
      </c>
      <c r="F24" s="83" t="s">
        <v>392</v>
      </c>
      <c r="G24" s="110">
        <v>23</v>
      </c>
      <c r="H24" s="111">
        <f t="shared" si="0"/>
        <v>57083</v>
      </c>
      <c r="I24" s="26"/>
    </row>
    <row r="25" spans="1:9" ht="26">
      <c r="A25" s="26">
        <v>24</v>
      </c>
      <c r="B25" s="107">
        <v>15</v>
      </c>
      <c r="C25" s="83" t="s">
        <v>377</v>
      </c>
      <c r="D25" s="108" t="s">
        <v>387</v>
      </c>
      <c r="E25" s="109">
        <v>34132</v>
      </c>
      <c r="F25" s="83" t="s">
        <v>388</v>
      </c>
      <c r="G25" s="110">
        <v>15</v>
      </c>
      <c r="H25" s="111">
        <f t="shared" si="0"/>
        <v>54220.75</v>
      </c>
      <c r="I25" s="26"/>
    </row>
    <row r="26" spans="1:9" ht="26">
      <c r="A26" s="26">
        <v>25</v>
      </c>
      <c r="B26" s="107">
        <v>16</v>
      </c>
      <c r="C26" s="83" t="s">
        <v>378</v>
      </c>
      <c r="D26" s="108" t="s">
        <v>387</v>
      </c>
      <c r="E26" s="109">
        <v>37160</v>
      </c>
      <c r="F26" s="83" t="s">
        <v>392</v>
      </c>
      <c r="G26" s="110">
        <v>21</v>
      </c>
      <c r="H26" s="111">
        <f t="shared" si="0"/>
        <v>57248.75</v>
      </c>
      <c r="I26" s="26"/>
    </row>
    <row r="27" spans="1:9" ht="26">
      <c r="A27" s="26">
        <v>26</v>
      </c>
      <c r="B27" s="107">
        <v>17</v>
      </c>
      <c r="C27" s="83" t="s">
        <v>379</v>
      </c>
      <c r="D27" s="108" t="s">
        <v>387</v>
      </c>
      <c r="E27" s="109">
        <v>34822</v>
      </c>
      <c r="F27" s="83" t="s">
        <v>392</v>
      </c>
      <c r="G27" s="110">
        <v>20</v>
      </c>
      <c r="H27" s="111">
        <f t="shared" si="0"/>
        <v>54910.75</v>
      </c>
      <c r="I27" s="26"/>
    </row>
    <row r="28" spans="1:9" ht="26">
      <c r="A28" s="26">
        <v>27</v>
      </c>
      <c r="B28" s="107">
        <v>18</v>
      </c>
      <c r="C28" s="83" t="s">
        <v>380</v>
      </c>
      <c r="D28" s="108" t="s">
        <v>387</v>
      </c>
      <c r="E28" s="109">
        <v>35342</v>
      </c>
      <c r="F28" s="83" t="s">
        <v>392</v>
      </c>
      <c r="G28" s="110">
        <v>35</v>
      </c>
      <c r="H28" s="111">
        <f t="shared" si="0"/>
        <v>55430.75</v>
      </c>
      <c r="I28" s="26"/>
    </row>
    <row r="29" spans="1:9" ht="26">
      <c r="A29" s="26">
        <v>28</v>
      </c>
      <c r="B29" s="107">
        <v>19</v>
      </c>
      <c r="C29" s="83" t="s">
        <v>381</v>
      </c>
      <c r="D29" s="108" t="s">
        <v>387</v>
      </c>
      <c r="E29" s="109">
        <v>29893</v>
      </c>
      <c r="F29" s="83" t="s">
        <v>393</v>
      </c>
      <c r="G29" s="110">
        <v>18</v>
      </c>
      <c r="H29" s="111">
        <f t="shared" si="0"/>
        <v>49981.75</v>
      </c>
      <c r="I29" s="26"/>
    </row>
    <row r="30" spans="1:9" ht="26">
      <c r="A30" s="26">
        <v>29</v>
      </c>
      <c r="B30" s="107">
        <v>20</v>
      </c>
      <c r="C30" s="83" t="s">
        <v>382</v>
      </c>
      <c r="D30" s="108" t="s">
        <v>387</v>
      </c>
      <c r="E30" s="109">
        <v>36048</v>
      </c>
      <c r="F30" s="83" t="s">
        <v>394</v>
      </c>
      <c r="G30" s="110">
        <v>19</v>
      </c>
      <c r="H30" s="111">
        <f t="shared" si="0"/>
        <v>56136.75</v>
      </c>
      <c r="I30" s="26"/>
    </row>
    <row r="31" spans="1:9" ht="26">
      <c r="A31" s="26">
        <v>30</v>
      </c>
      <c r="B31" s="107">
        <v>21</v>
      </c>
      <c r="C31" s="83" t="s">
        <v>383</v>
      </c>
      <c r="D31" s="108" t="s">
        <v>331</v>
      </c>
      <c r="E31" s="109">
        <v>33416</v>
      </c>
      <c r="F31" s="83" t="s">
        <v>152</v>
      </c>
      <c r="G31" s="110">
        <v>25</v>
      </c>
      <c r="H31" s="111">
        <f t="shared" si="0"/>
        <v>55331</v>
      </c>
      <c r="I31" s="26"/>
    </row>
    <row r="32" spans="1:9" ht="26">
      <c r="A32" s="26">
        <v>31</v>
      </c>
      <c r="B32" s="107">
        <v>22</v>
      </c>
      <c r="C32" s="83" t="s">
        <v>249</v>
      </c>
      <c r="D32" s="108" t="s">
        <v>387</v>
      </c>
      <c r="E32" s="109">
        <v>35215</v>
      </c>
      <c r="F32" s="83" t="s">
        <v>152</v>
      </c>
      <c r="G32" s="110">
        <v>20</v>
      </c>
      <c r="H32" s="111">
        <f t="shared" si="0"/>
        <v>55303.75</v>
      </c>
      <c r="I32" s="26"/>
    </row>
    <row r="33" spans="1:9" ht="26">
      <c r="A33" s="26">
        <v>32</v>
      </c>
      <c r="B33" s="107">
        <v>23</v>
      </c>
      <c r="C33" s="83" t="s">
        <v>384</v>
      </c>
      <c r="D33" s="108" t="s">
        <v>387</v>
      </c>
      <c r="E33" s="109">
        <v>35659</v>
      </c>
      <c r="F33" s="83" t="s">
        <v>395</v>
      </c>
      <c r="G33" s="110">
        <v>19</v>
      </c>
      <c r="H33" s="111">
        <f t="shared" si="0"/>
        <v>55747.75</v>
      </c>
      <c r="I33" s="26"/>
    </row>
    <row r="34" spans="1:9" ht="26">
      <c r="A34" s="26">
        <v>33</v>
      </c>
      <c r="B34" s="107">
        <v>24</v>
      </c>
      <c r="C34" s="83" t="s">
        <v>385</v>
      </c>
      <c r="D34" s="108" t="s">
        <v>387</v>
      </c>
      <c r="E34" s="109">
        <v>35491</v>
      </c>
      <c r="F34" s="83" t="s">
        <v>389</v>
      </c>
      <c r="G34" s="110">
        <v>20</v>
      </c>
      <c r="H34" s="111">
        <f t="shared" si="0"/>
        <v>55579.75</v>
      </c>
      <c r="I34" s="26"/>
    </row>
    <row r="35" spans="1:9" ht="26">
      <c r="A35" s="26">
        <v>34</v>
      </c>
      <c r="B35" s="107">
        <v>25</v>
      </c>
      <c r="C35" s="83" t="s">
        <v>386</v>
      </c>
      <c r="D35" s="108" t="s">
        <v>387</v>
      </c>
      <c r="E35" s="109">
        <v>34757</v>
      </c>
      <c r="F35" s="83" t="s">
        <v>396</v>
      </c>
      <c r="G35" s="110">
        <v>22</v>
      </c>
      <c r="H35" s="111">
        <f t="shared" si="0"/>
        <v>54845.75</v>
      </c>
      <c r="I35" s="26"/>
    </row>
    <row r="36" spans="1:9">
      <c r="A36" s="26">
        <v>35</v>
      </c>
      <c r="B36" s="222"/>
      <c r="C36" s="223"/>
      <c r="D36" s="223"/>
      <c r="E36" s="223"/>
      <c r="F36" s="223"/>
      <c r="G36" s="223"/>
      <c r="H36" s="224"/>
      <c r="I36" s="26"/>
    </row>
    <row r="37" spans="1:9">
      <c r="A37" s="26">
        <v>36</v>
      </c>
      <c r="B37" s="222" t="s">
        <v>402</v>
      </c>
      <c r="C37" s="224"/>
      <c r="D37" s="26">
        <f>COUNTIF(D11:D35,D11)</f>
        <v>10</v>
      </c>
      <c r="E37" s="26"/>
      <c r="F37" s="222" t="s">
        <v>406</v>
      </c>
      <c r="G37" s="223"/>
      <c r="H37" s="224"/>
      <c r="I37" s="26"/>
    </row>
    <row r="38" spans="1:9">
      <c r="A38" s="26">
        <v>37</v>
      </c>
      <c r="B38" s="222" t="s">
        <v>403</v>
      </c>
      <c r="C38" s="224"/>
      <c r="D38" s="26">
        <f>COUNTIF(D11:D35,D15)</f>
        <v>15</v>
      </c>
      <c r="E38" s="26"/>
      <c r="F38" s="222" t="s">
        <v>407</v>
      </c>
      <c r="G38" s="223"/>
      <c r="H38" s="224"/>
      <c r="I38" s="26"/>
    </row>
    <row r="39" spans="1:9">
      <c r="A39" s="26">
        <v>38</v>
      </c>
      <c r="B39" s="222" t="s">
        <v>404</v>
      </c>
      <c r="C39" s="224"/>
      <c r="D39" s="26">
        <f>COUNTIF(G11:G35,"&gt;19")</f>
        <v>19</v>
      </c>
      <c r="E39" s="26"/>
      <c r="F39" s="26"/>
      <c r="G39" s="26"/>
      <c r="H39" s="26"/>
      <c r="I39" s="26"/>
    </row>
    <row r="40" spans="1:9">
      <c r="A40" s="26">
        <v>39</v>
      </c>
      <c r="B40" s="222" t="s">
        <v>405</v>
      </c>
      <c r="C40" s="224"/>
      <c r="D40" s="26">
        <f>COUNTIF(G11:G35,"&lt;=19")</f>
        <v>6</v>
      </c>
      <c r="E40" s="26"/>
      <c r="F40" s="26"/>
      <c r="G40" s="26"/>
      <c r="H40" s="26"/>
      <c r="I40" s="26"/>
    </row>
  </sheetData>
  <mergeCells count="13">
    <mergeCell ref="B8:D8"/>
    <mergeCell ref="D2:F2"/>
    <mergeCell ref="B4:D4"/>
    <mergeCell ref="B5:D5"/>
    <mergeCell ref="B6:D6"/>
    <mergeCell ref="B7:D7"/>
    <mergeCell ref="B36:H36"/>
    <mergeCell ref="B37:C37"/>
    <mergeCell ref="B38:C38"/>
    <mergeCell ref="B39:C39"/>
    <mergeCell ref="B40:C40"/>
    <mergeCell ref="F37:H37"/>
    <mergeCell ref="F38:H38"/>
  </mergeCells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82709-72D9-42FC-8A54-4EF6074E6668}">
  <dimension ref="A1:J42"/>
  <sheetViews>
    <sheetView topLeftCell="A24" zoomScale="66" workbookViewId="0">
      <selection activeCell="J35" sqref="J35"/>
    </sheetView>
  </sheetViews>
  <sheetFormatPr defaultRowHeight="14.5"/>
  <cols>
    <col min="1" max="8" width="16.1796875" customWidth="1"/>
    <col min="10" max="10" width="9.81640625" bestFit="1" customWidth="1"/>
  </cols>
  <sheetData>
    <row r="1" spans="1:10" ht="20">
      <c r="D1" s="278" t="s">
        <v>435</v>
      </c>
      <c r="E1" s="270"/>
    </row>
    <row r="2" spans="1:10" ht="23">
      <c r="A2" s="280" t="s">
        <v>408</v>
      </c>
      <c r="B2" s="210"/>
      <c r="C2" s="210"/>
      <c r="D2" s="210"/>
      <c r="E2" s="210"/>
      <c r="F2" s="210"/>
      <c r="G2" s="210"/>
    </row>
    <row r="3" spans="1:10" ht="24">
      <c r="A3" s="114" t="s">
        <v>436</v>
      </c>
      <c r="B3" s="114" t="s">
        <v>410</v>
      </c>
      <c r="C3" s="114" t="s">
        <v>411</v>
      </c>
      <c r="D3" s="114" t="s">
        <v>412</v>
      </c>
      <c r="E3" s="114" t="s">
        <v>413</v>
      </c>
      <c r="F3" s="114" t="s">
        <v>414</v>
      </c>
      <c r="G3" s="114" t="s">
        <v>415</v>
      </c>
      <c r="H3" s="114" t="s">
        <v>90</v>
      </c>
    </row>
    <row r="4" spans="1:10" ht="23">
      <c r="A4" s="115">
        <v>1</v>
      </c>
      <c r="B4" s="116" t="s">
        <v>416</v>
      </c>
      <c r="C4" s="117" t="s">
        <v>422</v>
      </c>
      <c r="D4" s="118">
        <v>16</v>
      </c>
      <c r="E4" s="118">
        <v>66</v>
      </c>
      <c r="F4" s="119">
        <v>55</v>
      </c>
      <c r="G4" s="119">
        <v>77</v>
      </c>
      <c r="H4" s="118">
        <f>SUM(D4,E4,F4,G4)</f>
        <v>214</v>
      </c>
      <c r="J4" s="120"/>
    </row>
    <row r="5" spans="1:10" ht="23">
      <c r="A5" s="115">
        <v>2</v>
      </c>
      <c r="B5" s="116" t="s">
        <v>417</v>
      </c>
      <c r="C5" s="117" t="s">
        <v>423</v>
      </c>
      <c r="D5" s="118">
        <v>20</v>
      </c>
      <c r="E5" s="118">
        <v>55</v>
      </c>
      <c r="F5" s="119">
        <v>66</v>
      </c>
      <c r="G5" s="119">
        <v>6</v>
      </c>
      <c r="H5" s="118">
        <f t="shared" ref="H5:H23" si="0">SUM(D5,E5,F5,G5)</f>
        <v>147</v>
      </c>
    </row>
    <row r="6" spans="1:10" ht="23">
      <c r="A6" s="115">
        <v>3</v>
      </c>
      <c r="B6" s="116" t="s">
        <v>418</v>
      </c>
      <c r="C6" s="117" t="s">
        <v>424</v>
      </c>
      <c r="D6" s="118">
        <v>40</v>
      </c>
      <c r="E6" s="118">
        <v>44</v>
      </c>
      <c r="F6" s="119">
        <v>33</v>
      </c>
      <c r="G6" s="119">
        <v>55</v>
      </c>
      <c r="H6" s="118">
        <f t="shared" si="0"/>
        <v>172</v>
      </c>
    </row>
    <row r="7" spans="1:10" ht="23">
      <c r="A7" s="115">
        <v>4</v>
      </c>
      <c r="B7" s="116" t="s">
        <v>419</v>
      </c>
      <c r="C7" s="117" t="s">
        <v>425</v>
      </c>
      <c r="D7" s="118">
        <v>60</v>
      </c>
      <c r="E7" s="118">
        <v>33</v>
      </c>
      <c r="F7" s="119">
        <v>44</v>
      </c>
      <c r="G7" s="119">
        <v>7</v>
      </c>
      <c r="H7" s="118">
        <f t="shared" si="0"/>
        <v>144</v>
      </c>
    </row>
    <row r="8" spans="1:10" ht="23">
      <c r="A8" s="115">
        <v>4</v>
      </c>
      <c r="B8" s="116" t="s">
        <v>419</v>
      </c>
      <c r="C8" s="117" t="s">
        <v>426</v>
      </c>
      <c r="D8" s="118">
        <v>50</v>
      </c>
      <c r="E8" s="118">
        <v>66</v>
      </c>
      <c r="F8" s="119">
        <v>55</v>
      </c>
      <c r="G8" s="119">
        <v>77</v>
      </c>
      <c r="H8" s="118">
        <f t="shared" si="0"/>
        <v>248</v>
      </c>
    </row>
    <row r="9" spans="1:10" ht="23">
      <c r="A9" s="115">
        <v>4</v>
      </c>
      <c r="B9" s="116" t="s">
        <v>419</v>
      </c>
      <c r="C9" s="117" t="s">
        <v>427</v>
      </c>
      <c r="D9" s="118">
        <v>45</v>
      </c>
      <c r="E9" s="118">
        <v>77</v>
      </c>
      <c r="F9" s="119">
        <v>55</v>
      </c>
      <c r="G9" s="119">
        <v>55</v>
      </c>
      <c r="H9" s="118">
        <f t="shared" si="0"/>
        <v>232</v>
      </c>
    </row>
    <row r="10" spans="1:10" ht="23">
      <c r="A10" s="115">
        <v>5</v>
      </c>
      <c r="B10" s="116" t="s">
        <v>420</v>
      </c>
      <c r="C10" s="117" t="s">
        <v>428</v>
      </c>
      <c r="D10" s="118">
        <v>34</v>
      </c>
      <c r="E10" s="118">
        <v>88</v>
      </c>
      <c r="F10" s="119">
        <v>22</v>
      </c>
      <c r="G10" s="119">
        <v>7</v>
      </c>
      <c r="H10" s="118">
        <f t="shared" si="0"/>
        <v>151</v>
      </c>
    </row>
    <row r="11" spans="1:10" ht="23">
      <c r="A11" s="115">
        <v>6</v>
      </c>
      <c r="B11" s="116" t="s">
        <v>421</v>
      </c>
      <c r="C11" s="117" t="s">
        <v>429</v>
      </c>
      <c r="D11" s="118">
        <v>42</v>
      </c>
      <c r="E11" s="118">
        <v>22</v>
      </c>
      <c r="F11" s="119">
        <v>33</v>
      </c>
      <c r="G11" s="119">
        <v>8</v>
      </c>
      <c r="H11" s="118">
        <f t="shared" si="0"/>
        <v>105</v>
      </c>
    </row>
    <row r="12" spans="1:10" ht="23">
      <c r="A12" s="115">
        <v>6</v>
      </c>
      <c r="B12" s="116" t="s">
        <v>421</v>
      </c>
      <c r="C12" s="117" t="s">
        <v>20</v>
      </c>
      <c r="D12" s="118">
        <v>45</v>
      </c>
      <c r="E12" s="118">
        <v>44</v>
      </c>
      <c r="F12" s="119">
        <v>54</v>
      </c>
      <c r="G12" s="119">
        <v>9</v>
      </c>
      <c r="H12" s="118">
        <f t="shared" si="0"/>
        <v>152</v>
      </c>
    </row>
    <row r="13" spans="1:10" ht="23">
      <c r="A13" s="115">
        <v>6</v>
      </c>
      <c r="B13" s="116" t="s">
        <v>421</v>
      </c>
      <c r="C13" s="117" t="s">
        <v>21</v>
      </c>
      <c r="D13" s="118">
        <v>67</v>
      </c>
      <c r="E13" s="118">
        <v>55</v>
      </c>
      <c r="F13" s="119">
        <v>90</v>
      </c>
      <c r="G13" s="119">
        <v>44</v>
      </c>
      <c r="H13" s="118">
        <f t="shared" si="0"/>
        <v>256</v>
      </c>
    </row>
    <row r="14" spans="1:10" ht="23">
      <c r="A14" s="115">
        <v>1</v>
      </c>
      <c r="B14" s="116" t="s">
        <v>416</v>
      </c>
      <c r="C14" s="117" t="s">
        <v>22</v>
      </c>
      <c r="D14" s="118">
        <v>54</v>
      </c>
      <c r="E14" s="118">
        <v>77</v>
      </c>
      <c r="F14" s="119">
        <v>33</v>
      </c>
      <c r="G14" s="119">
        <v>55</v>
      </c>
      <c r="H14" s="118">
        <f t="shared" si="0"/>
        <v>219</v>
      </c>
    </row>
    <row r="15" spans="1:10" ht="23">
      <c r="A15" s="115">
        <v>1</v>
      </c>
      <c r="B15" s="116" t="s">
        <v>416</v>
      </c>
      <c r="C15" s="117" t="s">
        <v>430</v>
      </c>
      <c r="D15" s="118">
        <v>56</v>
      </c>
      <c r="E15" s="118">
        <v>88</v>
      </c>
      <c r="F15" s="119">
        <v>66</v>
      </c>
      <c r="G15" s="119">
        <v>60</v>
      </c>
      <c r="H15" s="118">
        <f t="shared" si="0"/>
        <v>270</v>
      </c>
    </row>
    <row r="16" spans="1:10" ht="23">
      <c r="A16" s="115">
        <v>1</v>
      </c>
      <c r="B16" s="116" t="s">
        <v>416</v>
      </c>
      <c r="C16" s="117" t="s">
        <v>422</v>
      </c>
      <c r="D16" s="118">
        <v>43</v>
      </c>
      <c r="E16" s="118">
        <v>55</v>
      </c>
      <c r="F16" s="119">
        <v>77</v>
      </c>
      <c r="G16" s="119">
        <v>50</v>
      </c>
      <c r="H16" s="118">
        <f t="shared" si="0"/>
        <v>225</v>
      </c>
    </row>
    <row r="17" spans="1:8" ht="23">
      <c r="A17" s="115">
        <v>3</v>
      </c>
      <c r="B17" s="116" t="s">
        <v>418</v>
      </c>
      <c r="C17" s="117" t="s">
        <v>423</v>
      </c>
      <c r="D17" s="118">
        <v>56</v>
      </c>
      <c r="E17" s="118">
        <v>44</v>
      </c>
      <c r="F17" s="119">
        <v>22</v>
      </c>
      <c r="G17" s="119">
        <v>30</v>
      </c>
      <c r="H17" s="118">
        <f t="shared" si="0"/>
        <v>152</v>
      </c>
    </row>
    <row r="18" spans="1:8" ht="23">
      <c r="A18" s="115">
        <v>3</v>
      </c>
      <c r="B18" s="116" t="s">
        <v>418</v>
      </c>
      <c r="C18" s="117" t="s">
        <v>424</v>
      </c>
      <c r="D18" s="118">
        <v>12</v>
      </c>
      <c r="E18" s="118">
        <v>33</v>
      </c>
      <c r="F18" s="119">
        <v>32</v>
      </c>
      <c r="G18" s="119">
        <v>20</v>
      </c>
      <c r="H18" s="118">
        <f t="shared" si="0"/>
        <v>97</v>
      </c>
    </row>
    <row r="19" spans="1:8" ht="23">
      <c r="A19" s="115">
        <v>3</v>
      </c>
      <c r="B19" s="116" t="s">
        <v>418</v>
      </c>
      <c r="C19" s="117" t="s">
        <v>425</v>
      </c>
      <c r="D19" s="118">
        <v>34</v>
      </c>
      <c r="E19" s="118">
        <v>33</v>
      </c>
      <c r="F19" s="119">
        <v>100</v>
      </c>
      <c r="G19" s="119">
        <v>70</v>
      </c>
      <c r="H19" s="118">
        <f t="shared" si="0"/>
        <v>237</v>
      </c>
    </row>
    <row r="20" spans="1:8" ht="23">
      <c r="A20" s="115">
        <v>2</v>
      </c>
      <c r="B20" s="116" t="s">
        <v>417</v>
      </c>
      <c r="C20" s="117" t="s">
        <v>426</v>
      </c>
      <c r="D20" s="118">
        <v>73</v>
      </c>
      <c r="E20" s="118">
        <v>55</v>
      </c>
      <c r="F20" s="119">
        <v>10</v>
      </c>
      <c r="G20" s="119">
        <v>60</v>
      </c>
      <c r="H20" s="118">
        <f t="shared" si="0"/>
        <v>198</v>
      </c>
    </row>
    <row r="21" spans="1:8" ht="23">
      <c r="A21" s="115">
        <v>2</v>
      </c>
      <c r="B21" s="116" t="s">
        <v>417</v>
      </c>
      <c r="C21" s="117" t="s">
        <v>427</v>
      </c>
      <c r="D21" s="118">
        <v>15</v>
      </c>
      <c r="E21" s="118">
        <v>90</v>
      </c>
      <c r="F21" s="119">
        <v>99</v>
      </c>
      <c r="G21" s="119">
        <v>40</v>
      </c>
      <c r="H21" s="118">
        <f t="shared" si="0"/>
        <v>244</v>
      </c>
    </row>
    <row r="22" spans="1:8" ht="23">
      <c r="A22" s="115">
        <v>5</v>
      </c>
      <c r="B22" s="116" t="s">
        <v>420</v>
      </c>
      <c r="C22" s="117" t="s">
        <v>428</v>
      </c>
      <c r="D22" s="118">
        <v>65</v>
      </c>
      <c r="E22" s="118">
        <v>33</v>
      </c>
      <c r="F22" s="119">
        <v>5</v>
      </c>
      <c r="G22" s="119">
        <v>30</v>
      </c>
      <c r="H22" s="118">
        <f t="shared" si="0"/>
        <v>133</v>
      </c>
    </row>
    <row r="23" spans="1:8" ht="23">
      <c r="A23" s="115">
        <v>5</v>
      </c>
      <c r="B23" s="116" t="s">
        <v>420</v>
      </c>
      <c r="C23" s="117" t="s">
        <v>429</v>
      </c>
      <c r="D23" s="118">
        <v>55</v>
      </c>
      <c r="E23" s="118">
        <v>55</v>
      </c>
      <c r="F23" s="119">
        <v>66</v>
      </c>
      <c r="G23" s="119">
        <v>60</v>
      </c>
      <c r="H23" s="118">
        <f t="shared" si="0"/>
        <v>236</v>
      </c>
    </row>
    <row r="24" spans="1:8" ht="23">
      <c r="A24" s="281"/>
      <c r="B24" s="282"/>
      <c r="C24" s="282"/>
      <c r="D24" s="282"/>
      <c r="E24" s="283"/>
      <c r="F24" s="290" t="s">
        <v>431</v>
      </c>
      <c r="G24" s="291"/>
      <c r="H24" s="118">
        <f>SUM(H4:H23)</f>
        <v>3832</v>
      </c>
    </row>
    <row r="25" spans="1:8" ht="23">
      <c r="A25" s="284"/>
      <c r="B25" s="285"/>
      <c r="C25" s="285"/>
      <c r="D25" s="285"/>
      <c r="E25" s="286"/>
      <c r="F25" s="290" t="s">
        <v>432</v>
      </c>
      <c r="G25" s="291"/>
      <c r="H25" s="118">
        <f>MIN(H4:H23)</f>
        <v>97</v>
      </c>
    </row>
    <row r="26" spans="1:8" ht="23">
      <c r="A26" s="287"/>
      <c r="B26" s="288"/>
      <c r="C26" s="288"/>
      <c r="D26" s="288"/>
      <c r="E26" s="289"/>
      <c r="F26" s="290" t="s">
        <v>433</v>
      </c>
      <c r="G26" s="291"/>
      <c r="H26" s="118">
        <f>MAX(H4:H23)</f>
        <v>270</v>
      </c>
    </row>
    <row r="27" spans="1:8">
      <c r="A27" s="216" t="s">
        <v>434</v>
      </c>
      <c r="B27" s="217"/>
      <c r="C27" s="217"/>
      <c r="D27" s="217"/>
      <c r="E27" s="217"/>
      <c r="F27" s="217"/>
      <c r="G27" s="217"/>
      <c r="H27" s="218"/>
    </row>
    <row r="28" spans="1:8" ht="23">
      <c r="A28" s="216" t="s">
        <v>437</v>
      </c>
      <c r="B28" s="217"/>
      <c r="C28" s="217"/>
      <c r="D28" s="217"/>
      <c r="E28" s="217"/>
      <c r="F28" s="217"/>
      <c r="G28" s="217"/>
      <c r="H28" s="218"/>
    </row>
    <row r="29" spans="1:8">
      <c r="A29" s="58"/>
      <c r="B29" s="58"/>
      <c r="C29" s="58"/>
      <c r="D29" s="58"/>
      <c r="E29" s="58"/>
      <c r="F29" s="58"/>
      <c r="G29" s="58"/>
      <c r="H29" s="58"/>
    </row>
    <row r="31" spans="1:8" ht="23">
      <c r="A31" s="279" t="s">
        <v>438</v>
      </c>
      <c r="B31" s="215"/>
      <c r="C31" s="215"/>
      <c r="D31" s="215"/>
      <c r="E31" s="215"/>
      <c r="F31" s="215"/>
      <c r="G31" s="215"/>
    </row>
    <row r="33" spans="1:7" ht="16.5">
      <c r="A33" s="26" t="s">
        <v>409</v>
      </c>
      <c r="B33" s="26" t="s">
        <v>126</v>
      </c>
      <c r="C33" s="26" t="s">
        <v>412</v>
      </c>
      <c r="D33" s="26" t="s">
        <v>413</v>
      </c>
      <c r="E33" s="26" t="s">
        <v>414</v>
      </c>
      <c r="F33" s="26" t="s">
        <v>415</v>
      </c>
      <c r="G33" s="26" t="s">
        <v>90</v>
      </c>
    </row>
    <row r="34" spans="1:7">
      <c r="A34" s="112">
        <v>1</v>
      </c>
      <c r="B34" s="26" t="s">
        <v>439</v>
      </c>
      <c r="C34" s="113">
        <f>SUMIF(B4:B23,B4,D4:D23)</f>
        <v>169</v>
      </c>
      <c r="D34" s="128">
        <f>SUMIF(B4:B23,B4,E4:E23)</f>
        <v>286</v>
      </c>
      <c r="E34" s="128">
        <f>SUMIF($B$4:$B$23,B4,$F$4:$F$23)</f>
        <v>231</v>
      </c>
      <c r="F34" s="128">
        <f>SUMIF($B$4:$B$23,B4,$G$4:$G$23)</f>
        <v>242</v>
      </c>
      <c r="G34" s="113">
        <f>SUM(C34:F34)</f>
        <v>928</v>
      </c>
    </row>
    <row r="35" spans="1:7">
      <c r="A35" s="112">
        <v>2</v>
      </c>
      <c r="B35" s="26" t="s">
        <v>417</v>
      </c>
      <c r="C35" s="113">
        <f>SUMIF(B4:B24,B5,D4:D24)</f>
        <v>108</v>
      </c>
      <c r="D35" s="128">
        <f t="shared" ref="D35:D37" si="1">SUMIF(B5:B24,B5,E5:E24)</f>
        <v>200</v>
      </c>
      <c r="E35" s="128">
        <f t="shared" ref="E35:E37" si="2">SUMIF($B$4:$B$23,B5,$F$4:$F$23)</f>
        <v>175</v>
      </c>
      <c r="F35" s="128">
        <f t="shared" ref="F35:F39" si="3">SUMIF($B$4:$B$23,B35,$G$4:$G$23)</f>
        <v>106</v>
      </c>
      <c r="G35" s="113">
        <f t="shared" ref="G35:G39" si="4">SUM(C35:F35)</f>
        <v>589</v>
      </c>
    </row>
    <row r="36" spans="1:7">
      <c r="A36" s="112">
        <v>3</v>
      </c>
      <c r="B36" s="26" t="s">
        <v>418</v>
      </c>
      <c r="C36" s="113">
        <f>SUMIF(B4:B23,B6,D4:D23)</f>
        <v>142</v>
      </c>
      <c r="D36" s="128">
        <f t="shared" si="1"/>
        <v>154</v>
      </c>
      <c r="E36" s="128">
        <f t="shared" si="2"/>
        <v>187</v>
      </c>
      <c r="F36" s="128">
        <f t="shared" si="3"/>
        <v>175</v>
      </c>
      <c r="G36" s="113">
        <f t="shared" si="4"/>
        <v>658</v>
      </c>
    </row>
    <row r="37" spans="1:7">
      <c r="A37" s="112">
        <v>4</v>
      </c>
      <c r="B37" s="26" t="s">
        <v>419</v>
      </c>
      <c r="C37" s="113">
        <f t="shared" ref="C37" si="5">SUMIF(B7:B26,B7,D7:D26)</f>
        <v>155</v>
      </c>
      <c r="D37" s="128">
        <f t="shared" si="1"/>
        <v>176</v>
      </c>
      <c r="E37" s="128">
        <f t="shared" si="2"/>
        <v>154</v>
      </c>
      <c r="F37" s="128">
        <f t="shared" si="3"/>
        <v>139</v>
      </c>
      <c r="G37" s="113">
        <f t="shared" si="4"/>
        <v>624</v>
      </c>
    </row>
    <row r="38" spans="1:7">
      <c r="A38" s="112">
        <v>5</v>
      </c>
      <c r="B38" s="26" t="s">
        <v>420</v>
      </c>
      <c r="C38" s="113">
        <f>SUMIF(B4:B23,B10,D4:D23)</f>
        <v>154</v>
      </c>
      <c r="D38" s="128">
        <f>SUMIF(B4:B23,B10,E4:E23)</f>
        <v>176</v>
      </c>
      <c r="E38" s="128">
        <f>SUMIF($B$4:$B$23,B10,$F$4:$F$23)</f>
        <v>93</v>
      </c>
      <c r="F38" s="128">
        <f t="shared" si="3"/>
        <v>97</v>
      </c>
      <c r="G38" s="113">
        <f t="shared" si="4"/>
        <v>520</v>
      </c>
    </row>
    <row r="39" spans="1:7">
      <c r="A39" s="112">
        <v>6</v>
      </c>
      <c r="B39" s="26" t="s">
        <v>421</v>
      </c>
      <c r="C39" s="113">
        <f>SUMIF(B4:B23,B11,D4:D23)</f>
        <v>154</v>
      </c>
      <c r="D39" s="128">
        <f>SUMIF(B4:B23,B11,E4:E23)</f>
        <v>121</v>
      </c>
      <c r="E39" s="128">
        <f>SUMIF($B$4:$B$23,B11,$F$4:$F$23)</f>
        <v>177</v>
      </c>
      <c r="F39" s="128">
        <f t="shared" si="3"/>
        <v>61</v>
      </c>
      <c r="G39" s="113">
        <f t="shared" si="4"/>
        <v>513</v>
      </c>
    </row>
    <row r="40" spans="1:7">
      <c r="A40" s="112"/>
      <c r="B40" s="26"/>
      <c r="C40" s="26"/>
      <c r="D40" s="26"/>
      <c r="E40" s="26"/>
      <c r="F40" s="26"/>
      <c r="G40" s="26"/>
    </row>
    <row r="41" spans="1:7">
      <c r="A41" s="275" t="s">
        <v>434</v>
      </c>
      <c r="B41" s="276"/>
      <c r="C41" s="276"/>
      <c r="D41" s="276"/>
      <c r="E41" s="276"/>
      <c r="F41" s="276"/>
      <c r="G41" s="277"/>
    </row>
    <row r="42" spans="1:7">
      <c r="A42" s="275" t="s">
        <v>440</v>
      </c>
      <c r="B42" s="276"/>
      <c r="C42" s="276"/>
      <c r="D42" s="276"/>
      <c r="E42" s="276"/>
      <c r="F42" s="276"/>
      <c r="G42" s="277"/>
    </row>
  </sheetData>
  <mergeCells count="11">
    <mergeCell ref="A41:G41"/>
    <mergeCell ref="A42:G42"/>
    <mergeCell ref="D1:E1"/>
    <mergeCell ref="A31:G31"/>
    <mergeCell ref="A28:H28"/>
    <mergeCell ref="A2:G2"/>
    <mergeCell ref="A24:E26"/>
    <mergeCell ref="F24:G24"/>
    <mergeCell ref="F25:G25"/>
    <mergeCell ref="F26:G26"/>
    <mergeCell ref="A27:H27"/>
  </mergeCells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B4538-31CE-41C0-A679-4FD01B2B3BFD}">
  <dimension ref="A1:L14"/>
  <sheetViews>
    <sheetView zoomScale="63" workbookViewId="0">
      <selection activeCell="G24" sqref="G24"/>
    </sheetView>
  </sheetViews>
  <sheetFormatPr defaultRowHeight="14.5"/>
  <cols>
    <col min="1" max="12" width="17.36328125" customWidth="1"/>
  </cols>
  <sheetData>
    <row r="1" spans="1:12" ht="14.65" customHeight="1">
      <c r="E1" s="292" t="s">
        <v>496</v>
      </c>
      <c r="F1" s="293"/>
      <c r="G1" s="293"/>
    </row>
    <row r="2" spans="1:12">
      <c r="E2" s="294"/>
      <c r="F2" s="294"/>
      <c r="G2" s="294"/>
    </row>
    <row r="3" spans="1:12" ht="23">
      <c r="A3" s="134" t="s">
        <v>441</v>
      </c>
      <c r="B3" s="134" t="s">
        <v>442</v>
      </c>
      <c r="C3" s="134" t="s">
        <v>443</v>
      </c>
      <c r="D3" s="134" t="s">
        <v>444</v>
      </c>
      <c r="E3" s="134" t="s">
        <v>445</v>
      </c>
      <c r="F3" s="134" t="s">
        <v>446</v>
      </c>
      <c r="G3" s="134" t="s">
        <v>447</v>
      </c>
      <c r="H3" s="134" t="s">
        <v>448</v>
      </c>
      <c r="I3" s="134" t="s">
        <v>449</v>
      </c>
      <c r="J3" s="134" t="s">
        <v>450</v>
      </c>
      <c r="K3" s="134" t="s">
        <v>451</v>
      </c>
      <c r="L3" s="134" t="s">
        <v>452</v>
      </c>
    </row>
    <row r="4" spans="1:12" ht="23">
      <c r="A4" s="135">
        <v>1</v>
      </c>
      <c r="B4" s="83" t="s">
        <v>453</v>
      </c>
      <c r="C4" s="83" t="s">
        <v>463</v>
      </c>
      <c r="D4" s="137">
        <v>90</v>
      </c>
      <c r="E4" s="137">
        <v>75</v>
      </c>
      <c r="F4" s="136">
        <v>49</v>
      </c>
      <c r="G4" s="136">
        <v>35</v>
      </c>
      <c r="H4" s="137">
        <f>MAX(D4:G4)</f>
        <v>90</v>
      </c>
      <c r="I4" s="137">
        <f>MIN(D4:G4)</f>
        <v>35</v>
      </c>
      <c r="J4" s="137">
        <f>SUM(D4:G4)</f>
        <v>249</v>
      </c>
      <c r="K4" s="137">
        <f>AVERAGE(D4:G4)</f>
        <v>62.25</v>
      </c>
      <c r="L4" s="138">
        <f>RANK(K4,$K$4:$K$13)</f>
        <v>1</v>
      </c>
    </row>
    <row r="5" spans="1:12" ht="23">
      <c r="A5" s="135">
        <v>2</v>
      </c>
      <c r="B5" s="83" t="s">
        <v>454</v>
      </c>
      <c r="C5" s="83" t="s">
        <v>464</v>
      </c>
      <c r="D5" s="136">
        <v>80</v>
      </c>
      <c r="E5" s="136">
        <v>97</v>
      </c>
      <c r="F5" s="136">
        <v>30</v>
      </c>
      <c r="G5" s="136">
        <v>35</v>
      </c>
      <c r="H5" s="137">
        <f t="shared" ref="H5:H13" si="0">MAX(D5:G5)</f>
        <v>97</v>
      </c>
      <c r="I5" s="137">
        <f t="shared" ref="I5:I13" si="1">MIN(D5:G5)</f>
        <v>30</v>
      </c>
      <c r="J5" s="137">
        <f t="shared" ref="J5:J13" si="2">SUM(D5:G5)</f>
        <v>242</v>
      </c>
      <c r="K5" s="137">
        <f t="shared" ref="K5:K13" si="3">AVERAGE(D5:G5)</f>
        <v>60.5</v>
      </c>
      <c r="L5" s="138">
        <f t="shared" ref="L5:L13" si="4">RANK(K5,$K$4:$K$13)</f>
        <v>2</v>
      </c>
    </row>
    <row r="6" spans="1:12" ht="23">
      <c r="A6" s="135">
        <v>3</v>
      </c>
      <c r="B6" s="83" t="s">
        <v>455</v>
      </c>
      <c r="C6" s="83" t="s">
        <v>464</v>
      </c>
      <c r="D6" s="136">
        <v>70</v>
      </c>
      <c r="E6" s="136">
        <v>67</v>
      </c>
      <c r="F6" s="136">
        <v>35</v>
      </c>
      <c r="G6" s="136">
        <v>40</v>
      </c>
      <c r="H6" s="137">
        <f t="shared" si="0"/>
        <v>70</v>
      </c>
      <c r="I6" s="137">
        <f t="shared" si="1"/>
        <v>35</v>
      </c>
      <c r="J6" s="137">
        <f t="shared" si="2"/>
        <v>212</v>
      </c>
      <c r="K6" s="137">
        <f t="shared" si="3"/>
        <v>53</v>
      </c>
      <c r="L6" s="138">
        <f t="shared" si="4"/>
        <v>7</v>
      </c>
    </row>
    <row r="7" spans="1:12" ht="23">
      <c r="A7" s="135">
        <v>4</v>
      </c>
      <c r="B7" s="83" t="s">
        <v>456</v>
      </c>
      <c r="C7" s="83" t="s">
        <v>463</v>
      </c>
      <c r="D7" s="136">
        <v>66</v>
      </c>
      <c r="E7" s="136">
        <v>50</v>
      </c>
      <c r="F7" s="136">
        <v>45</v>
      </c>
      <c r="G7" s="136">
        <v>42</v>
      </c>
      <c r="H7" s="137">
        <f t="shared" si="0"/>
        <v>66</v>
      </c>
      <c r="I7" s="137">
        <f t="shared" si="1"/>
        <v>42</v>
      </c>
      <c r="J7" s="137">
        <f t="shared" si="2"/>
        <v>203</v>
      </c>
      <c r="K7" s="137">
        <f t="shared" si="3"/>
        <v>50.75</v>
      </c>
      <c r="L7" s="138">
        <f t="shared" si="4"/>
        <v>9</v>
      </c>
    </row>
    <row r="8" spans="1:12" ht="23">
      <c r="A8" s="135">
        <v>5</v>
      </c>
      <c r="B8" s="83" t="s">
        <v>457</v>
      </c>
      <c r="C8" s="83" t="s">
        <v>464</v>
      </c>
      <c r="D8" s="136">
        <v>50</v>
      </c>
      <c r="E8" s="136">
        <v>88</v>
      </c>
      <c r="F8" s="136">
        <v>44</v>
      </c>
      <c r="G8" s="136">
        <v>43</v>
      </c>
      <c r="H8" s="137">
        <f t="shared" si="0"/>
        <v>88</v>
      </c>
      <c r="I8" s="137">
        <f t="shared" si="1"/>
        <v>43</v>
      </c>
      <c r="J8" s="137">
        <f t="shared" si="2"/>
        <v>225</v>
      </c>
      <c r="K8" s="137">
        <f t="shared" si="3"/>
        <v>56.25</v>
      </c>
      <c r="L8" s="138">
        <f t="shared" si="4"/>
        <v>4</v>
      </c>
    </row>
    <row r="9" spans="1:12" ht="23">
      <c r="A9" s="135">
        <v>6</v>
      </c>
      <c r="B9" s="83" t="s">
        <v>459</v>
      </c>
      <c r="C9" s="83" t="s">
        <v>464</v>
      </c>
      <c r="D9" s="136">
        <v>67</v>
      </c>
      <c r="E9" s="136">
        <v>75</v>
      </c>
      <c r="F9" s="136">
        <v>34</v>
      </c>
      <c r="G9" s="136">
        <v>34</v>
      </c>
      <c r="H9" s="137">
        <f t="shared" si="0"/>
        <v>75</v>
      </c>
      <c r="I9" s="137">
        <f t="shared" si="1"/>
        <v>34</v>
      </c>
      <c r="J9" s="137">
        <f t="shared" si="2"/>
        <v>210</v>
      </c>
      <c r="K9" s="137">
        <f t="shared" si="3"/>
        <v>52.5</v>
      </c>
      <c r="L9" s="138">
        <f t="shared" si="4"/>
        <v>8</v>
      </c>
    </row>
    <row r="10" spans="1:12" ht="23">
      <c r="A10" s="135">
        <v>7</v>
      </c>
      <c r="B10" s="83" t="s">
        <v>458</v>
      </c>
      <c r="C10" s="83" t="s">
        <v>464</v>
      </c>
      <c r="D10" s="136">
        <v>89</v>
      </c>
      <c r="E10" s="136">
        <v>60</v>
      </c>
      <c r="F10" s="136">
        <v>45</v>
      </c>
      <c r="G10" s="136">
        <v>30</v>
      </c>
      <c r="H10" s="137">
        <f t="shared" si="0"/>
        <v>89</v>
      </c>
      <c r="I10" s="137">
        <f t="shared" si="1"/>
        <v>30</v>
      </c>
      <c r="J10" s="137">
        <f t="shared" si="2"/>
        <v>224</v>
      </c>
      <c r="K10" s="137">
        <f t="shared" si="3"/>
        <v>56</v>
      </c>
      <c r="L10" s="138">
        <f t="shared" si="4"/>
        <v>5</v>
      </c>
    </row>
    <row r="11" spans="1:12" ht="23">
      <c r="A11" s="135">
        <v>8</v>
      </c>
      <c r="B11" s="83" t="s">
        <v>460</v>
      </c>
      <c r="C11" s="83" t="s">
        <v>463</v>
      </c>
      <c r="D11" s="136">
        <v>78</v>
      </c>
      <c r="E11" s="136">
        <v>90</v>
      </c>
      <c r="F11" s="136">
        <v>30</v>
      </c>
      <c r="G11" s="136">
        <v>29</v>
      </c>
      <c r="H11" s="137">
        <f t="shared" si="0"/>
        <v>90</v>
      </c>
      <c r="I11" s="137">
        <f t="shared" si="1"/>
        <v>29</v>
      </c>
      <c r="J11" s="137">
        <f t="shared" si="2"/>
        <v>227</v>
      </c>
      <c r="K11" s="137">
        <f t="shared" si="3"/>
        <v>56.75</v>
      </c>
      <c r="L11" s="138">
        <f t="shared" si="4"/>
        <v>3</v>
      </c>
    </row>
    <row r="12" spans="1:12" ht="23">
      <c r="A12" s="135">
        <v>9</v>
      </c>
      <c r="B12" s="83" t="s">
        <v>461</v>
      </c>
      <c r="C12" s="83" t="s">
        <v>463</v>
      </c>
      <c r="D12" s="136">
        <v>88</v>
      </c>
      <c r="E12" s="136">
        <v>69</v>
      </c>
      <c r="F12" s="136">
        <v>26</v>
      </c>
      <c r="G12" s="136">
        <v>41</v>
      </c>
      <c r="H12" s="137">
        <f t="shared" si="0"/>
        <v>88</v>
      </c>
      <c r="I12" s="137">
        <f t="shared" si="1"/>
        <v>26</v>
      </c>
      <c r="J12" s="137">
        <f t="shared" si="2"/>
        <v>224</v>
      </c>
      <c r="K12" s="137">
        <f t="shared" si="3"/>
        <v>56</v>
      </c>
      <c r="L12" s="138">
        <f t="shared" si="4"/>
        <v>5</v>
      </c>
    </row>
    <row r="13" spans="1:12" ht="23">
      <c r="A13" s="135">
        <v>10</v>
      </c>
      <c r="B13" s="83" t="s">
        <v>462</v>
      </c>
      <c r="C13" s="83" t="s">
        <v>463</v>
      </c>
      <c r="D13" s="136">
        <v>59</v>
      </c>
      <c r="E13" s="136">
        <v>65</v>
      </c>
      <c r="F13" s="136">
        <v>36</v>
      </c>
      <c r="G13" s="136">
        <v>25</v>
      </c>
      <c r="H13" s="137">
        <f t="shared" si="0"/>
        <v>65</v>
      </c>
      <c r="I13" s="137">
        <f t="shared" si="1"/>
        <v>25</v>
      </c>
      <c r="J13" s="137">
        <f t="shared" si="2"/>
        <v>185</v>
      </c>
      <c r="K13" s="137">
        <f t="shared" si="3"/>
        <v>46.25</v>
      </c>
      <c r="L13" s="138">
        <f t="shared" si="4"/>
        <v>10</v>
      </c>
    </row>
    <row r="14" spans="1:12" ht="23">
      <c r="A14" s="135"/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</row>
  </sheetData>
  <mergeCells count="1">
    <mergeCell ref="E1:G2"/>
  </mergeCells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DF31F-4E1B-4887-9F84-E08F5105C157}">
  <dimension ref="A1:F36"/>
  <sheetViews>
    <sheetView topLeftCell="A3" zoomScale="71" workbookViewId="0">
      <selection activeCell="C32" sqref="C32"/>
    </sheetView>
  </sheetViews>
  <sheetFormatPr defaultRowHeight="14.5"/>
  <cols>
    <col min="1" max="1" width="12.7265625" style="129" customWidth="1"/>
    <col min="2" max="5" width="21.453125" customWidth="1"/>
    <col min="6" max="6" width="16.26953125" customWidth="1"/>
  </cols>
  <sheetData>
    <row r="1" spans="1:6" ht="18.5">
      <c r="C1" s="295" t="s">
        <v>497</v>
      </c>
      <c r="D1" s="270"/>
    </row>
    <row r="2" spans="1:6" ht="23">
      <c r="A2" s="296" t="s">
        <v>465</v>
      </c>
      <c r="B2" s="297"/>
      <c r="C2" s="297"/>
      <c r="D2" s="297"/>
      <c r="E2" s="297"/>
      <c r="F2" s="298"/>
    </row>
    <row r="3" spans="1:6" ht="18.5">
      <c r="A3" s="139" t="s">
        <v>441</v>
      </c>
      <c r="B3" s="140" t="s">
        <v>466</v>
      </c>
      <c r="C3" s="140" t="s">
        <v>467</v>
      </c>
      <c r="D3" s="140" t="s">
        <v>468</v>
      </c>
      <c r="E3" s="140" t="s">
        <v>469</v>
      </c>
      <c r="F3" s="132"/>
    </row>
    <row r="4" spans="1:6" ht="18.5">
      <c r="A4" s="139">
        <v>1</v>
      </c>
      <c r="B4" s="140" t="s">
        <v>470</v>
      </c>
      <c r="C4" s="140" t="s">
        <v>475</v>
      </c>
      <c r="D4" s="140" t="str">
        <f>_xlfn.CONCAT(B4," ",C4)</f>
        <v xml:space="preserve">Microsoft Word </v>
      </c>
      <c r="E4" s="140" t="str">
        <f>LOWER(D4)</f>
        <v xml:space="preserve">microsoft word </v>
      </c>
      <c r="F4" s="132"/>
    </row>
    <row r="5" spans="1:6" ht="18.5">
      <c r="A5" s="139">
        <v>2</v>
      </c>
      <c r="B5" s="140" t="s">
        <v>470</v>
      </c>
      <c r="C5" s="140" t="s">
        <v>476</v>
      </c>
      <c r="D5" s="140" t="str">
        <f t="shared" ref="D5:D9" si="0">_xlfn.CONCAT(B5," ",C5)</f>
        <v>Microsoft Excel</v>
      </c>
      <c r="E5" s="140" t="str">
        <f t="shared" ref="E5:E6" si="1">LOWER(D5)</f>
        <v>microsoft excel</v>
      </c>
      <c r="F5" s="132"/>
    </row>
    <row r="6" spans="1:6" ht="18.5">
      <c r="A6" s="139">
        <v>3</v>
      </c>
      <c r="B6" s="140" t="s">
        <v>470</v>
      </c>
      <c r="C6" s="140" t="s">
        <v>477</v>
      </c>
      <c r="D6" s="140" t="str">
        <f t="shared" si="0"/>
        <v>Microsoft PowerPoint</v>
      </c>
      <c r="E6" s="140" t="str">
        <f t="shared" si="1"/>
        <v>microsoft powerpoint</v>
      </c>
      <c r="F6" s="132"/>
    </row>
    <row r="7" spans="1:6" ht="18.5">
      <c r="A7" s="139">
        <v>4</v>
      </c>
      <c r="B7" s="140" t="s">
        <v>470</v>
      </c>
      <c r="C7" s="140" t="s">
        <v>478</v>
      </c>
      <c r="D7" s="140" t="str">
        <f t="shared" si="0"/>
        <v>Microsoft Publisher</v>
      </c>
      <c r="E7" s="140" t="str">
        <f>UPPER(D7)</f>
        <v>MICROSOFT PUBLISHER</v>
      </c>
      <c r="F7" s="132"/>
    </row>
    <row r="8" spans="1:6" ht="18.5">
      <c r="A8" s="139">
        <v>5</v>
      </c>
      <c r="B8" s="140" t="s">
        <v>470</v>
      </c>
      <c r="C8" s="140" t="s">
        <v>479</v>
      </c>
      <c r="D8" s="140" t="str">
        <f t="shared" si="0"/>
        <v>Microsoft Tools</v>
      </c>
      <c r="E8" s="140" t="str">
        <f t="shared" ref="E8:E9" si="2">UPPER(D8)</f>
        <v>MICROSOFT TOOLS</v>
      </c>
      <c r="F8" s="132"/>
    </row>
    <row r="9" spans="1:6" ht="18.5">
      <c r="A9" s="139">
        <v>6</v>
      </c>
      <c r="B9" s="140" t="s">
        <v>470</v>
      </c>
      <c r="C9" s="140" t="s">
        <v>480</v>
      </c>
      <c r="D9" s="141" t="str">
        <f t="shared" si="0"/>
        <v>Microsoft Store</v>
      </c>
      <c r="E9" s="140" t="str">
        <f t="shared" si="2"/>
        <v>MICROSOFT STORE</v>
      </c>
      <c r="F9" s="132"/>
    </row>
    <row r="10" spans="1:6" ht="18.5">
      <c r="A10" s="139">
        <v>7</v>
      </c>
      <c r="B10" s="140" t="s">
        <v>471</v>
      </c>
      <c r="C10" s="142" t="s">
        <v>481</v>
      </c>
      <c r="D10" s="142" t="str">
        <f>_xlfn.CONCAT(B10," and ",C10)</f>
        <v>Adobe Ligthroom and Photoshop</v>
      </c>
      <c r="E10" s="151"/>
      <c r="F10" s="132"/>
    </row>
    <row r="11" spans="1:6" ht="18.5">
      <c r="A11" s="139">
        <v>8</v>
      </c>
      <c r="B11" s="140" t="s">
        <v>472</v>
      </c>
      <c r="C11" s="142" t="s">
        <v>475</v>
      </c>
      <c r="D11" s="142" t="str">
        <f t="shared" ref="D11:D12" si="3">_xlfn.CONCAT(B11," and ",C11)</f>
        <v xml:space="preserve">Tutorial excel and Word </v>
      </c>
      <c r="E11" s="151"/>
      <c r="F11" s="132"/>
    </row>
    <row r="12" spans="1:6" ht="18.5">
      <c r="A12" s="139">
        <v>9</v>
      </c>
      <c r="B12" s="140" t="s">
        <v>473</v>
      </c>
      <c r="C12" s="142" t="s">
        <v>482</v>
      </c>
      <c r="D12" s="142" t="str">
        <f t="shared" si="3"/>
        <v>Formula and Funtions</v>
      </c>
      <c r="E12" s="151"/>
      <c r="F12" s="132"/>
    </row>
    <row r="13" spans="1:6" ht="18.5">
      <c r="A13" s="139">
        <v>10</v>
      </c>
      <c r="B13" s="140" t="s">
        <v>474</v>
      </c>
      <c r="C13" s="142" t="s">
        <v>483</v>
      </c>
      <c r="D13" s="142" t="str">
        <f>_xlfn.CONCAT(B13," or ",C13)</f>
        <v>Coffee or Tea</v>
      </c>
      <c r="E13" s="151"/>
      <c r="F13" s="132"/>
    </row>
    <row r="14" spans="1:6">
      <c r="A14" s="130"/>
      <c r="B14" s="145" t="s">
        <v>484</v>
      </c>
      <c r="C14" s="146"/>
      <c r="D14" s="131"/>
      <c r="E14" s="131"/>
      <c r="F14" s="131"/>
    </row>
    <row r="15" spans="1:6">
      <c r="A15" s="130"/>
      <c r="B15" s="145" t="s">
        <v>485</v>
      </c>
      <c r="C15" s="146"/>
      <c r="D15" s="131"/>
      <c r="E15" s="131"/>
      <c r="F15" s="131"/>
    </row>
    <row r="16" spans="1:6" ht="23">
      <c r="A16" s="299" t="s">
        <v>486</v>
      </c>
      <c r="B16" s="300"/>
      <c r="C16" s="300"/>
    </row>
    <row r="17" spans="1:4">
      <c r="A17" s="130"/>
      <c r="B17" s="146" t="s">
        <v>487</v>
      </c>
      <c r="C17" s="146"/>
      <c r="D17" s="131"/>
    </row>
    <row r="18" spans="1:4" ht="18.5">
      <c r="A18" s="143">
        <v>1</v>
      </c>
      <c r="B18" s="140" t="s">
        <v>488</v>
      </c>
      <c r="C18" s="144"/>
      <c r="D18" s="140" t="str">
        <f>LEFT(B18,3)</f>
        <v>fun</v>
      </c>
    </row>
    <row r="19" spans="1:4" ht="18.5">
      <c r="A19" s="143">
        <v>2</v>
      </c>
      <c r="B19" s="140" t="s">
        <v>489</v>
      </c>
      <c r="C19" s="147"/>
      <c r="D19" s="140" t="str">
        <f t="shared" ref="D19:D22" si="4">LEFT(B19,3)</f>
        <v>Mon</v>
      </c>
    </row>
    <row r="20" spans="1:4" ht="18.5">
      <c r="A20" s="143">
        <v>3</v>
      </c>
      <c r="B20" s="140" t="s">
        <v>490</v>
      </c>
      <c r="C20" s="147"/>
      <c r="D20" s="140" t="str">
        <f t="shared" si="4"/>
        <v>Sep</v>
      </c>
    </row>
    <row r="21" spans="1:4" ht="18.5">
      <c r="A21" s="143">
        <v>4</v>
      </c>
      <c r="B21" s="140" t="s">
        <v>23</v>
      </c>
      <c r="C21" s="147"/>
      <c r="D21" s="140" t="str">
        <f t="shared" si="4"/>
        <v>Max</v>
      </c>
    </row>
    <row r="22" spans="1:4" ht="18.5">
      <c r="A22" s="143">
        <v>5</v>
      </c>
      <c r="B22" s="140" t="s">
        <v>491</v>
      </c>
      <c r="C22" s="148"/>
      <c r="D22" s="140" t="str">
        <f t="shared" si="4"/>
        <v>Mar</v>
      </c>
    </row>
    <row r="23" spans="1:4">
      <c r="A23" s="130"/>
      <c r="B23" s="131"/>
      <c r="C23" s="131"/>
      <c r="D23" s="131"/>
    </row>
    <row r="24" spans="1:4">
      <c r="A24" s="149" t="s">
        <v>492</v>
      </c>
      <c r="B24" s="150"/>
      <c r="C24" s="131"/>
      <c r="D24" s="131"/>
    </row>
    <row r="25" spans="1:4" ht="18.5">
      <c r="A25" s="139">
        <v>1E-3</v>
      </c>
      <c r="B25" s="140">
        <f>LOG(A25)</f>
        <v>-3</v>
      </c>
      <c r="C25" s="131"/>
      <c r="D25" s="131"/>
    </row>
    <row r="26" spans="1:4" ht="18.5">
      <c r="A26" s="139">
        <v>0.1</v>
      </c>
      <c r="B26" s="140">
        <f t="shared" ref="B26:B29" si="5">LOG(A26)</f>
        <v>-1</v>
      </c>
      <c r="C26" s="131"/>
      <c r="D26" s="131"/>
    </row>
    <row r="27" spans="1:4" ht="18.5">
      <c r="A27" s="139">
        <v>10</v>
      </c>
      <c r="B27" s="140">
        <f t="shared" si="5"/>
        <v>1</v>
      </c>
      <c r="C27" s="131"/>
      <c r="D27" s="131"/>
    </row>
    <row r="28" spans="1:4" ht="18.5">
      <c r="A28" s="139">
        <v>1000</v>
      </c>
      <c r="B28" s="140">
        <f t="shared" si="5"/>
        <v>3</v>
      </c>
      <c r="C28" s="131"/>
      <c r="D28" s="131"/>
    </row>
    <row r="29" spans="1:4" ht="18.5">
      <c r="A29" s="144">
        <v>10000</v>
      </c>
      <c r="B29" s="141">
        <f t="shared" si="5"/>
        <v>4</v>
      </c>
      <c r="C29" s="131"/>
      <c r="D29" s="131"/>
    </row>
    <row r="30" spans="1:4">
      <c r="A30" s="149" t="s">
        <v>493</v>
      </c>
      <c r="B30" s="150"/>
      <c r="C30" s="28"/>
      <c r="D30" s="131"/>
    </row>
    <row r="31" spans="1:4" ht="18.5">
      <c r="A31" s="139" t="s">
        <v>494</v>
      </c>
      <c r="B31" s="139" t="s">
        <v>495</v>
      </c>
      <c r="C31" s="139" t="s">
        <v>216</v>
      </c>
      <c r="D31" s="131"/>
    </row>
    <row r="32" spans="1:4" ht="18.5">
      <c r="A32" s="139">
        <v>2</v>
      </c>
      <c r="B32" s="139">
        <v>0</v>
      </c>
      <c r="C32" s="139">
        <f>POWER(A32,B32)</f>
        <v>1</v>
      </c>
      <c r="D32" s="131"/>
    </row>
    <row r="33" spans="1:4" ht="18.5">
      <c r="A33" s="139">
        <v>3</v>
      </c>
      <c r="B33" s="139">
        <v>1</v>
      </c>
      <c r="C33" s="139">
        <f t="shared" ref="C33:C36" si="6">POWER(A33,B33)</f>
        <v>3</v>
      </c>
      <c r="D33" s="131"/>
    </row>
    <row r="34" spans="1:4" ht="18.5">
      <c r="A34" s="139">
        <v>4</v>
      </c>
      <c r="B34" s="139">
        <v>2</v>
      </c>
      <c r="C34" s="139">
        <f t="shared" si="6"/>
        <v>16</v>
      </c>
      <c r="D34" s="131"/>
    </row>
    <row r="35" spans="1:4" ht="18.5">
      <c r="A35" s="139">
        <v>5</v>
      </c>
      <c r="B35" s="139">
        <v>3</v>
      </c>
      <c r="C35" s="139">
        <f t="shared" si="6"/>
        <v>125</v>
      </c>
      <c r="D35" s="131"/>
    </row>
    <row r="36" spans="1:4" ht="18.5">
      <c r="A36" s="139">
        <v>6</v>
      </c>
      <c r="B36" s="139">
        <v>4</v>
      </c>
      <c r="C36" s="139">
        <f t="shared" si="6"/>
        <v>1296</v>
      </c>
      <c r="D36" s="131"/>
    </row>
  </sheetData>
  <mergeCells count="3">
    <mergeCell ref="C1:D1"/>
    <mergeCell ref="A2:F2"/>
    <mergeCell ref="A16:C1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05DD0-99AF-41EA-873D-7039E1E52B79}">
  <dimension ref="A1:H24"/>
  <sheetViews>
    <sheetView topLeftCell="A7" zoomScale="69" workbookViewId="0">
      <selection activeCell="F17" sqref="F17"/>
    </sheetView>
  </sheetViews>
  <sheetFormatPr defaultRowHeight="14.5"/>
  <cols>
    <col min="1" max="1" width="7.81640625" customWidth="1"/>
    <col min="2" max="2" width="14.90625" style="133" customWidth="1"/>
    <col min="3" max="4" width="20.36328125" customWidth="1"/>
    <col min="5" max="6" width="15.08984375" customWidth="1"/>
  </cols>
  <sheetData>
    <row r="1" spans="1:6">
      <c r="A1" s="301" t="s">
        <v>510</v>
      </c>
      <c r="B1" s="266"/>
      <c r="C1" s="266"/>
      <c r="D1" s="266"/>
    </row>
    <row r="2" spans="1:6">
      <c r="A2" s="302"/>
      <c r="B2" s="302"/>
      <c r="C2" s="302"/>
      <c r="D2" s="302"/>
    </row>
    <row r="3" spans="1:6" ht="24">
      <c r="A3" s="152" t="s">
        <v>512</v>
      </c>
      <c r="B3" s="153" t="s">
        <v>498</v>
      </c>
      <c r="C3" s="152" t="s">
        <v>499</v>
      </c>
      <c r="D3" s="152" t="s">
        <v>31</v>
      </c>
      <c r="E3" s="154"/>
      <c r="F3" s="154"/>
    </row>
    <row r="4" spans="1:6" ht="23">
      <c r="A4" s="83">
        <v>1</v>
      </c>
      <c r="B4" s="155">
        <v>1</v>
      </c>
      <c r="C4" s="83" t="s">
        <v>500</v>
      </c>
      <c r="D4" s="85">
        <v>1500</v>
      </c>
      <c r="E4" s="154"/>
      <c r="F4" s="154"/>
    </row>
    <row r="5" spans="1:6" ht="23">
      <c r="A5" s="83">
        <v>2</v>
      </c>
      <c r="B5" s="155">
        <v>2</v>
      </c>
      <c r="C5" s="83" t="s">
        <v>178</v>
      </c>
      <c r="D5" s="85">
        <v>570</v>
      </c>
      <c r="E5" s="154"/>
      <c r="F5" s="154"/>
    </row>
    <row r="6" spans="1:6" ht="23">
      <c r="A6" s="83">
        <v>3</v>
      </c>
      <c r="B6" s="155">
        <v>3</v>
      </c>
      <c r="C6" s="83" t="s">
        <v>501</v>
      </c>
      <c r="D6" s="85">
        <v>1200</v>
      </c>
      <c r="E6" s="154"/>
      <c r="F6" s="154"/>
    </row>
    <row r="7" spans="1:6" ht="23">
      <c r="A7" s="83">
        <v>4</v>
      </c>
      <c r="B7" s="155">
        <v>4</v>
      </c>
      <c r="C7" s="83" t="s">
        <v>502</v>
      </c>
      <c r="D7" s="85">
        <v>20</v>
      </c>
      <c r="E7" s="154"/>
      <c r="F7" s="154"/>
    </row>
    <row r="8" spans="1:6" ht="23">
      <c r="A8" s="83">
        <v>5</v>
      </c>
      <c r="B8" s="155">
        <v>5</v>
      </c>
      <c r="C8" s="83" t="s">
        <v>503</v>
      </c>
      <c r="D8" s="85">
        <v>780</v>
      </c>
      <c r="E8" s="154"/>
      <c r="F8" s="154"/>
    </row>
    <row r="9" spans="1:6" ht="23">
      <c r="A9" s="83">
        <v>6</v>
      </c>
      <c r="B9" s="155">
        <v>6</v>
      </c>
      <c r="C9" s="83" t="s">
        <v>504</v>
      </c>
      <c r="D9" s="85">
        <v>230</v>
      </c>
      <c r="E9" s="154"/>
      <c r="F9" s="154"/>
    </row>
    <row r="10" spans="1:6" ht="23">
      <c r="A10" s="83">
        <v>7</v>
      </c>
      <c r="B10" s="155">
        <v>7</v>
      </c>
      <c r="C10" s="83" t="s">
        <v>505</v>
      </c>
      <c r="D10" s="85">
        <v>30</v>
      </c>
      <c r="E10" s="154"/>
      <c r="F10" s="154"/>
    </row>
    <row r="11" spans="1:6" ht="23">
      <c r="A11" s="83">
        <v>8</v>
      </c>
      <c r="B11" s="155">
        <v>8</v>
      </c>
      <c r="C11" s="83" t="s">
        <v>506</v>
      </c>
      <c r="D11" s="85">
        <v>18</v>
      </c>
      <c r="E11" s="154"/>
      <c r="F11" s="154"/>
    </row>
    <row r="12" spans="1:6" ht="23">
      <c r="A12" s="83">
        <v>9</v>
      </c>
      <c r="B12" s="155">
        <v>9</v>
      </c>
      <c r="C12" s="83" t="s">
        <v>507</v>
      </c>
      <c r="D12" s="85">
        <v>25</v>
      </c>
      <c r="E12" s="154"/>
      <c r="F12" s="154"/>
    </row>
    <row r="13" spans="1:6" ht="23">
      <c r="A13" s="83">
        <v>10</v>
      </c>
      <c r="B13" s="155">
        <v>10</v>
      </c>
      <c r="C13" s="83" t="s">
        <v>508</v>
      </c>
      <c r="D13" s="85">
        <v>200</v>
      </c>
      <c r="E13" s="154"/>
      <c r="F13" s="154"/>
    </row>
    <row r="14" spans="1:6" ht="23">
      <c r="A14" s="154"/>
      <c r="B14" s="156"/>
      <c r="C14" s="154"/>
      <c r="D14" s="154"/>
      <c r="E14" s="154"/>
      <c r="F14" s="154"/>
    </row>
    <row r="15" spans="1:6" ht="23">
      <c r="A15" s="154"/>
      <c r="B15" s="156"/>
      <c r="C15" s="154"/>
      <c r="D15" s="154"/>
      <c r="E15" s="154"/>
      <c r="F15" s="154"/>
    </row>
    <row r="16" spans="1:6" ht="24">
      <c r="A16" s="157" t="s">
        <v>512</v>
      </c>
      <c r="B16" s="157" t="s">
        <v>498</v>
      </c>
      <c r="C16" s="157" t="s">
        <v>499</v>
      </c>
      <c r="D16" s="157" t="s">
        <v>509</v>
      </c>
      <c r="E16" s="157" t="s">
        <v>31</v>
      </c>
      <c r="F16" s="157" t="s">
        <v>32</v>
      </c>
    </row>
    <row r="17" spans="1:8" ht="23">
      <c r="A17" s="83">
        <v>1</v>
      </c>
      <c r="B17" s="158">
        <v>1</v>
      </c>
      <c r="C17" s="159" t="str">
        <f>VLOOKUP(B17,B4:$D$13,2)</f>
        <v>Camera Canon 750E</v>
      </c>
      <c r="D17" s="83">
        <v>1</v>
      </c>
      <c r="E17" s="160">
        <f>VLOOKUP(B17,$B$4:$D$13,3)</f>
        <v>1500</v>
      </c>
      <c r="F17" s="161">
        <f>D17*E17</f>
        <v>1500</v>
      </c>
    </row>
    <row r="18" spans="1:8" ht="23">
      <c r="A18" s="83">
        <v>2</v>
      </c>
      <c r="B18" s="158">
        <v>2</v>
      </c>
      <c r="C18" s="159" t="str">
        <f>VLOOKUP(B18,B5:$D$13,2)</f>
        <v>Speaker</v>
      </c>
      <c r="D18" s="83">
        <v>4</v>
      </c>
      <c r="E18" s="160">
        <f t="shared" ref="E18:E20" si="0">VLOOKUP(B18,$B$4:$D$13,3)</f>
        <v>570</v>
      </c>
      <c r="F18" s="161">
        <f t="shared" ref="F18:F20" si="1">D18*E18</f>
        <v>2280</v>
      </c>
      <c r="H18" s="131"/>
    </row>
    <row r="19" spans="1:8" ht="23">
      <c r="A19" s="83">
        <v>3</v>
      </c>
      <c r="B19" s="158">
        <v>3</v>
      </c>
      <c r="C19" s="159" t="str">
        <f>VLOOKUP(B19,B6:$D$13,2)</f>
        <v>VGA card</v>
      </c>
      <c r="D19" s="83">
        <v>2</v>
      </c>
      <c r="E19" s="160">
        <f t="shared" si="0"/>
        <v>1200</v>
      </c>
      <c r="F19" s="161">
        <f t="shared" si="1"/>
        <v>2400</v>
      </c>
      <c r="H19" s="131"/>
    </row>
    <row r="20" spans="1:8" ht="23">
      <c r="A20" s="83">
        <v>4</v>
      </c>
      <c r="B20" s="158">
        <v>10</v>
      </c>
      <c r="C20" s="159" t="str">
        <f>VLOOKUP(B20,B7:$D$13,2)</f>
        <v>External Drive 1TB</v>
      </c>
      <c r="D20" s="83">
        <v>4</v>
      </c>
      <c r="E20" s="160">
        <f t="shared" si="0"/>
        <v>200</v>
      </c>
      <c r="F20" s="161">
        <f t="shared" si="1"/>
        <v>800</v>
      </c>
      <c r="H20" s="131"/>
    </row>
    <row r="21" spans="1:8" ht="23">
      <c r="A21" s="154"/>
      <c r="B21" s="162"/>
      <c r="C21" s="154"/>
      <c r="D21" s="154"/>
      <c r="E21" s="159" t="s">
        <v>90</v>
      </c>
      <c r="F21" s="161">
        <f>SUM(F17:F20)</f>
        <v>6980</v>
      </c>
    </row>
    <row r="22" spans="1:8" ht="23">
      <c r="A22" s="154"/>
      <c r="B22" s="156"/>
      <c r="C22" s="154"/>
      <c r="D22" s="154"/>
      <c r="E22" s="154"/>
      <c r="F22" s="154"/>
    </row>
    <row r="23" spans="1:8" ht="23">
      <c r="A23" s="154"/>
      <c r="B23" s="303" t="s">
        <v>511</v>
      </c>
      <c r="C23" s="303"/>
      <c r="D23" s="303"/>
      <c r="E23" s="303"/>
      <c r="F23" s="154"/>
    </row>
    <row r="24" spans="1:8" ht="23">
      <c r="A24" s="154"/>
      <c r="B24" s="156"/>
      <c r="C24" s="154"/>
      <c r="D24" s="154"/>
      <c r="E24" s="154"/>
      <c r="F24" s="154"/>
    </row>
  </sheetData>
  <mergeCells count="2">
    <mergeCell ref="A1:D2"/>
    <mergeCell ref="B23:E23"/>
  </mergeCells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DB7D2-FB11-4D3C-9DD3-F804C0BDDA41}">
  <dimension ref="A1:F13"/>
  <sheetViews>
    <sheetView zoomScale="76" workbookViewId="0">
      <selection activeCell="E2" sqref="E2"/>
    </sheetView>
  </sheetViews>
  <sheetFormatPr defaultRowHeight="14.5"/>
  <cols>
    <col min="2" max="5" width="14.26953125" customWidth="1"/>
    <col min="6" max="6" width="16.08984375" customWidth="1"/>
  </cols>
  <sheetData>
    <row r="1" spans="1:6" ht="31.25" customHeight="1">
      <c r="B1" s="304" t="s">
        <v>523</v>
      </c>
      <c r="C1" s="305"/>
      <c r="D1" s="305"/>
      <c r="E1" s="305"/>
    </row>
    <row r="2" spans="1:6" ht="23">
      <c r="A2" s="306" t="s">
        <v>524</v>
      </c>
      <c r="B2" s="306"/>
      <c r="C2" s="306"/>
      <c r="D2" s="156"/>
      <c r="E2" s="167" t="s">
        <v>519</v>
      </c>
      <c r="F2" s="156"/>
    </row>
    <row r="3" spans="1:6" ht="23">
      <c r="A3" s="168" t="s">
        <v>498</v>
      </c>
      <c r="B3" s="168" t="s">
        <v>513</v>
      </c>
      <c r="C3" s="168" t="s">
        <v>514</v>
      </c>
      <c r="D3" s="168" t="s">
        <v>515</v>
      </c>
      <c r="E3" s="168" t="s">
        <v>30</v>
      </c>
      <c r="F3" s="168" t="s">
        <v>516</v>
      </c>
    </row>
    <row r="4" spans="1:6" ht="23">
      <c r="A4" s="156">
        <v>1</v>
      </c>
      <c r="B4" s="156" t="s">
        <v>517</v>
      </c>
      <c r="C4" s="156" t="s">
        <v>522</v>
      </c>
      <c r="D4" s="169">
        <v>2</v>
      </c>
      <c r="E4" s="170">
        <v>20</v>
      </c>
      <c r="F4" s="171">
        <v>46003</v>
      </c>
    </row>
    <row r="5" spans="1:6" ht="23">
      <c r="A5" s="156">
        <v>2</v>
      </c>
      <c r="B5" s="156" t="s">
        <v>42</v>
      </c>
      <c r="C5" s="156" t="s">
        <v>522</v>
      </c>
      <c r="D5" s="169">
        <v>1.25</v>
      </c>
      <c r="E5" s="170">
        <v>15</v>
      </c>
      <c r="F5" s="171">
        <v>46004</v>
      </c>
    </row>
    <row r="6" spans="1:6" ht="23">
      <c r="A6" s="156">
        <v>3</v>
      </c>
      <c r="B6" s="156" t="s">
        <v>518</v>
      </c>
      <c r="C6" s="156" t="s">
        <v>522</v>
      </c>
      <c r="D6" s="169">
        <v>1</v>
      </c>
      <c r="E6" s="170">
        <v>50</v>
      </c>
      <c r="F6" s="171">
        <v>46005</v>
      </c>
    </row>
    <row r="7" spans="1:6" ht="23">
      <c r="A7" s="156">
        <v>4</v>
      </c>
      <c r="B7" s="156" t="s">
        <v>519</v>
      </c>
      <c r="C7" s="156" t="s">
        <v>522</v>
      </c>
      <c r="D7" s="169">
        <v>1</v>
      </c>
      <c r="E7" s="170">
        <v>10</v>
      </c>
      <c r="F7" s="171">
        <v>46006</v>
      </c>
    </row>
    <row r="8" spans="1:6" ht="23">
      <c r="A8" s="156">
        <v>5</v>
      </c>
      <c r="B8" s="156" t="s">
        <v>517</v>
      </c>
      <c r="C8" s="156" t="s">
        <v>522</v>
      </c>
      <c r="D8" s="169">
        <v>1.5</v>
      </c>
      <c r="E8" s="170">
        <v>40</v>
      </c>
      <c r="F8" s="171">
        <v>46007</v>
      </c>
    </row>
    <row r="9" spans="1:6" ht="23">
      <c r="A9" s="156">
        <v>6</v>
      </c>
      <c r="B9" s="156" t="s">
        <v>520</v>
      </c>
      <c r="C9" s="156" t="s">
        <v>522</v>
      </c>
      <c r="D9" s="169">
        <v>1</v>
      </c>
      <c r="E9" s="170">
        <v>30</v>
      </c>
      <c r="F9" s="171">
        <v>46008</v>
      </c>
    </row>
    <row r="10" spans="1:6" ht="23">
      <c r="A10" s="156">
        <v>7</v>
      </c>
      <c r="B10" s="156" t="s">
        <v>519</v>
      </c>
      <c r="C10" s="156" t="s">
        <v>522</v>
      </c>
      <c r="D10" s="169">
        <v>1.5</v>
      </c>
      <c r="E10" s="170">
        <v>42</v>
      </c>
      <c r="F10" s="171">
        <v>46009</v>
      </c>
    </row>
    <row r="11" spans="1:6" ht="23">
      <c r="A11" s="156">
        <v>8</v>
      </c>
      <c r="B11" s="156" t="s">
        <v>42</v>
      </c>
      <c r="C11" s="156" t="s">
        <v>522</v>
      </c>
      <c r="D11" s="169">
        <v>1</v>
      </c>
      <c r="E11" s="170">
        <v>12</v>
      </c>
      <c r="F11" s="171">
        <v>46010</v>
      </c>
    </row>
    <row r="12" spans="1:6" ht="23">
      <c r="A12" s="156">
        <v>9</v>
      </c>
      <c r="B12" s="156" t="s">
        <v>45</v>
      </c>
      <c r="C12" s="156" t="s">
        <v>522</v>
      </c>
      <c r="D12" s="169">
        <v>1</v>
      </c>
      <c r="E12" s="170">
        <v>35</v>
      </c>
      <c r="F12" s="171">
        <v>46011</v>
      </c>
    </row>
    <row r="13" spans="1:6" ht="23">
      <c r="A13" s="156">
        <v>10</v>
      </c>
      <c r="B13" s="156" t="s">
        <v>521</v>
      </c>
      <c r="C13" s="156" t="s">
        <v>522</v>
      </c>
      <c r="D13" s="169">
        <v>1</v>
      </c>
      <c r="E13" s="170">
        <v>18</v>
      </c>
      <c r="F13" s="171">
        <v>46012</v>
      </c>
    </row>
  </sheetData>
  <mergeCells count="2">
    <mergeCell ref="B1:E1"/>
    <mergeCell ref="A2:C2"/>
  </mergeCells>
  <conditionalFormatting sqref="A4:F13">
    <cfRule type="expression" dxfId="2" priority="1">
      <formula>$B4=$E$2</formula>
    </cfRule>
  </conditionalFormatting>
  <dataValidations count="1">
    <dataValidation type="list" allowBlank="1" showInputMessage="1" showErrorMessage="1" sqref="E2" xr:uid="{966ED4C5-1DA3-409E-B3DC-C1A67CA02F56}">
      <formula1>$B$4:$B$13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0F8F1-F4FF-4ECF-AB72-900CBF41E06C}">
  <dimension ref="A2:F13"/>
  <sheetViews>
    <sheetView zoomScale="66" zoomScaleNormal="94" workbookViewId="0">
      <selection activeCell="E2" sqref="E2"/>
    </sheetView>
  </sheetViews>
  <sheetFormatPr defaultRowHeight="14.5"/>
  <cols>
    <col min="5" max="5" width="19.54296875" customWidth="1"/>
    <col min="6" max="6" width="20.54296875" customWidth="1"/>
  </cols>
  <sheetData>
    <row r="2" spans="1:6" ht="23">
      <c r="A2" s="306" t="s">
        <v>524</v>
      </c>
      <c r="B2" s="306"/>
      <c r="C2" s="306"/>
      <c r="D2" s="156"/>
      <c r="E2" s="167" t="s">
        <v>42</v>
      </c>
      <c r="F2" s="156"/>
    </row>
    <row r="3" spans="1:6" ht="23">
      <c r="A3" s="168" t="s">
        <v>498</v>
      </c>
      <c r="B3" s="168" t="s">
        <v>513</v>
      </c>
      <c r="C3" s="168" t="s">
        <v>514</v>
      </c>
      <c r="D3" s="168" t="s">
        <v>515</v>
      </c>
      <c r="E3" s="168" t="s">
        <v>30</v>
      </c>
      <c r="F3" s="168" t="s">
        <v>516</v>
      </c>
    </row>
    <row r="4" spans="1:6" ht="23">
      <c r="A4" s="156">
        <v>1</v>
      </c>
      <c r="B4" s="156" t="s">
        <v>517</v>
      </c>
      <c r="C4" s="156" t="s">
        <v>522</v>
      </c>
      <c r="D4" s="169">
        <v>2</v>
      </c>
      <c r="E4" s="170">
        <v>20</v>
      </c>
      <c r="F4" s="171">
        <v>46003</v>
      </c>
    </row>
    <row r="5" spans="1:6" ht="23">
      <c r="A5" s="156">
        <v>2</v>
      </c>
      <c r="B5" s="156" t="s">
        <v>42</v>
      </c>
      <c r="C5" s="156" t="s">
        <v>522</v>
      </c>
      <c r="D5" s="169">
        <v>1.25</v>
      </c>
      <c r="E5" s="170">
        <v>15</v>
      </c>
      <c r="F5" s="171">
        <v>46004</v>
      </c>
    </row>
    <row r="6" spans="1:6" ht="23">
      <c r="A6" s="156">
        <v>3</v>
      </c>
      <c r="B6" s="156" t="s">
        <v>518</v>
      </c>
      <c r="C6" s="156" t="s">
        <v>522</v>
      </c>
      <c r="D6" s="169">
        <v>1</v>
      </c>
      <c r="E6" s="170">
        <v>50</v>
      </c>
      <c r="F6" s="171">
        <v>46005</v>
      </c>
    </row>
    <row r="7" spans="1:6" ht="23">
      <c r="A7" s="156">
        <v>4</v>
      </c>
      <c r="B7" s="156" t="s">
        <v>519</v>
      </c>
      <c r="C7" s="156" t="s">
        <v>522</v>
      </c>
      <c r="D7" s="169">
        <v>1</v>
      </c>
      <c r="E7" s="170">
        <v>10</v>
      </c>
      <c r="F7" s="171">
        <v>46006</v>
      </c>
    </row>
    <row r="8" spans="1:6" ht="23">
      <c r="A8" s="156">
        <v>5</v>
      </c>
      <c r="B8" s="156" t="s">
        <v>517</v>
      </c>
      <c r="C8" s="156" t="s">
        <v>522</v>
      </c>
      <c r="D8" s="169">
        <v>1.5</v>
      </c>
      <c r="E8" s="170">
        <v>40</v>
      </c>
      <c r="F8" s="171">
        <v>46007</v>
      </c>
    </row>
    <row r="9" spans="1:6" ht="23">
      <c r="A9" s="156">
        <v>6</v>
      </c>
      <c r="B9" s="156" t="s">
        <v>520</v>
      </c>
      <c r="C9" s="156" t="s">
        <v>522</v>
      </c>
      <c r="D9" s="169">
        <v>1</v>
      </c>
      <c r="E9" s="170">
        <v>30</v>
      </c>
      <c r="F9" s="171">
        <v>46008</v>
      </c>
    </row>
    <row r="10" spans="1:6" ht="23">
      <c r="A10" s="156">
        <v>7</v>
      </c>
      <c r="B10" s="156" t="s">
        <v>519</v>
      </c>
      <c r="C10" s="156" t="s">
        <v>522</v>
      </c>
      <c r="D10" s="169">
        <v>1.5</v>
      </c>
      <c r="E10" s="170">
        <v>42</v>
      </c>
      <c r="F10" s="171">
        <v>46009</v>
      </c>
    </row>
    <row r="11" spans="1:6" ht="23">
      <c r="A11" s="156">
        <v>8</v>
      </c>
      <c r="B11" s="156" t="s">
        <v>42</v>
      </c>
      <c r="C11" s="156" t="s">
        <v>522</v>
      </c>
      <c r="D11" s="169">
        <v>1</v>
      </c>
      <c r="E11" s="170">
        <v>12</v>
      </c>
      <c r="F11" s="171">
        <v>46010</v>
      </c>
    </row>
    <row r="12" spans="1:6" ht="23">
      <c r="A12" s="156">
        <v>9</v>
      </c>
      <c r="B12" s="156" t="s">
        <v>45</v>
      </c>
      <c r="C12" s="156" t="s">
        <v>522</v>
      </c>
      <c r="D12" s="169">
        <v>1</v>
      </c>
      <c r="E12" s="170">
        <v>35</v>
      </c>
      <c r="F12" s="171">
        <v>46011</v>
      </c>
    </row>
    <row r="13" spans="1:6" ht="23">
      <c r="A13" s="156">
        <v>10</v>
      </c>
      <c r="B13" s="156" t="s">
        <v>521</v>
      </c>
      <c r="C13" s="156" t="s">
        <v>522</v>
      </c>
      <c r="D13" s="169">
        <v>1</v>
      </c>
      <c r="E13" s="170">
        <v>18</v>
      </c>
      <c r="F13" s="171">
        <v>46012</v>
      </c>
    </row>
  </sheetData>
  <mergeCells count="1">
    <mergeCell ref="A2:C2"/>
  </mergeCells>
  <conditionalFormatting sqref="A4:F13">
    <cfRule type="expression" dxfId="1" priority="1">
      <formula>$B4=$E$2</formula>
    </cfRule>
  </conditionalFormatting>
  <dataValidations count="1">
    <dataValidation type="list" allowBlank="1" showInputMessage="1" showErrorMessage="1" sqref="E2" xr:uid="{486331DC-F04B-4185-BE24-360A2383851E}">
      <formula1>$B$4:$B$13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96709-4E7E-40C7-8DA5-F7C05DC48AB5}">
  <dimension ref="A2:F13"/>
  <sheetViews>
    <sheetView zoomScale="73" zoomScaleNormal="100" workbookViewId="0">
      <selection activeCell="E2" sqref="E2:F2"/>
    </sheetView>
  </sheetViews>
  <sheetFormatPr defaultRowHeight="14.5"/>
  <cols>
    <col min="2" max="6" width="14.7265625" customWidth="1"/>
  </cols>
  <sheetData>
    <row r="2" spans="1:6" ht="23">
      <c r="A2" s="306" t="s">
        <v>524</v>
      </c>
      <c r="B2" s="306"/>
      <c r="C2" s="306"/>
      <c r="D2" s="156"/>
      <c r="E2" s="172" t="s">
        <v>517</v>
      </c>
      <c r="F2" s="156"/>
    </row>
    <row r="3" spans="1:6" ht="23">
      <c r="A3" s="168" t="s">
        <v>498</v>
      </c>
      <c r="B3" s="168" t="s">
        <v>513</v>
      </c>
      <c r="C3" s="168" t="s">
        <v>514</v>
      </c>
      <c r="D3" s="168" t="s">
        <v>515</v>
      </c>
      <c r="E3" s="168" t="s">
        <v>30</v>
      </c>
      <c r="F3" s="168" t="s">
        <v>516</v>
      </c>
    </row>
    <row r="4" spans="1:6" ht="23">
      <c r="A4" s="156">
        <v>1</v>
      </c>
      <c r="B4" s="156" t="s">
        <v>517</v>
      </c>
      <c r="C4" s="156" t="s">
        <v>522</v>
      </c>
      <c r="D4" s="169">
        <v>2</v>
      </c>
      <c r="E4" s="170">
        <v>20</v>
      </c>
      <c r="F4" s="171">
        <v>46003</v>
      </c>
    </row>
    <row r="5" spans="1:6" ht="23">
      <c r="A5" s="156">
        <v>2</v>
      </c>
      <c r="B5" s="156" t="s">
        <v>42</v>
      </c>
      <c r="C5" s="156" t="s">
        <v>522</v>
      </c>
      <c r="D5" s="169">
        <v>1.25</v>
      </c>
      <c r="E5" s="170">
        <v>15</v>
      </c>
      <c r="F5" s="171">
        <v>46004</v>
      </c>
    </row>
    <row r="6" spans="1:6" ht="23">
      <c r="A6" s="156">
        <v>3</v>
      </c>
      <c r="B6" s="156" t="s">
        <v>518</v>
      </c>
      <c r="C6" s="156" t="s">
        <v>522</v>
      </c>
      <c r="D6" s="169">
        <v>1</v>
      </c>
      <c r="E6" s="170">
        <v>50</v>
      </c>
      <c r="F6" s="171">
        <v>46005</v>
      </c>
    </row>
    <row r="7" spans="1:6" ht="23">
      <c r="A7" s="156">
        <v>4</v>
      </c>
      <c r="B7" s="156" t="s">
        <v>519</v>
      </c>
      <c r="C7" s="156" t="s">
        <v>522</v>
      </c>
      <c r="D7" s="169">
        <v>1</v>
      </c>
      <c r="E7" s="170">
        <v>10</v>
      </c>
      <c r="F7" s="171">
        <v>46006</v>
      </c>
    </row>
    <row r="8" spans="1:6" ht="23">
      <c r="A8" s="156">
        <v>5</v>
      </c>
      <c r="B8" s="156" t="s">
        <v>517</v>
      </c>
      <c r="C8" s="156" t="s">
        <v>522</v>
      </c>
      <c r="D8" s="169">
        <v>1.5</v>
      </c>
      <c r="E8" s="170">
        <v>40</v>
      </c>
      <c r="F8" s="171">
        <v>46007</v>
      </c>
    </row>
    <row r="9" spans="1:6" ht="23">
      <c r="A9" s="156">
        <v>6</v>
      </c>
      <c r="B9" s="156" t="s">
        <v>520</v>
      </c>
      <c r="C9" s="156" t="s">
        <v>522</v>
      </c>
      <c r="D9" s="169">
        <v>1</v>
      </c>
      <c r="E9" s="170">
        <v>30</v>
      </c>
      <c r="F9" s="171">
        <v>46008</v>
      </c>
    </row>
    <row r="10" spans="1:6" ht="23">
      <c r="A10" s="156">
        <v>7</v>
      </c>
      <c r="B10" s="156" t="s">
        <v>519</v>
      </c>
      <c r="C10" s="156" t="s">
        <v>522</v>
      </c>
      <c r="D10" s="169">
        <v>1.5</v>
      </c>
      <c r="E10" s="170">
        <v>42</v>
      </c>
      <c r="F10" s="171">
        <v>46009</v>
      </c>
    </row>
    <row r="11" spans="1:6" ht="23">
      <c r="A11" s="156">
        <v>8</v>
      </c>
      <c r="B11" s="156" t="s">
        <v>42</v>
      </c>
      <c r="C11" s="156" t="s">
        <v>522</v>
      </c>
      <c r="D11" s="169">
        <v>1</v>
      </c>
      <c r="E11" s="170">
        <v>12</v>
      </c>
      <c r="F11" s="171">
        <v>46010</v>
      </c>
    </row>
    <row r="12" spans="1:6" ht="23">
      <c r="A12" s="156">
        <v>9</v>
      </c>
      <c r="B12" s="156" t="s">
        <v>45</v>
      </c>
      <c r="C12" s="156" t="s">
        <v>522</v>
      </c>
      <c r="D12" s="169">
        <v>1</v>
      </c>
      <c r="E12" s="170">
        <v>35</v>
      </c>
      <c r="F12" s="171">
        <v>46011</v>
      </c>
    </row>
    <row r="13" spans="1:6" ht="23">
      <c r="A13" s="156">
        <v>10</v>
      </c>
      <c r="B13" s="156" t="s">
        <v>521</v>
      </c>
      <c r="C13" s="156" t="s">
        <v>522</v>
      </c>
      <c r="D13" s="169">
        <v>1</v>
      </c>
      <c r="E13" s="170">
        <v>18</v>
      </c>
      <c r="F13" s="171">
        <v>46012</v>
      </c>
    </row>
  </sheetData>
  <mergeCells count="1">
    <mergeCell ref="A2:C2"/>
  </mergeCells>
  <conditionalFormatting sqref="A4:F13">
    <cfRule type="expression" dxfId="0" priority="1">
      <formula>$B4=$E$2</formula>
    </cfRule>
  </conditionalFormatting>
  <dataValidations count="1">
    <dataValidation type="list" allowBlank="1" showInputMessage="1" showErrorMessage="1" sqref="E2" xr:uid="{9DF08877-57A1-4C16-A0E4-84E86DFD60B1}">
      <formula1>$B$4:$B$13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3D39D-7144-4D52-B3BF-65C28C0DCC0C}">
  <dimension ref="A1:I27"/>
  <sheetViews>
    <sheetView topLeftCell="A8" zoomScale="60" zoomScaleNormal="68" workbookViewId="0">
      <selection activeCell="A28" sqref="A28"/>
    </sheetView>
  </sheetViews>
  <sheetFormatPr defaultRowHeight="14.5"/>
  <cols>
    <col min="1" max="6" width="17.90625" customWidth="1"/>
    <col min="8" max="8" width="10.08984375" bestFit="1" customWidth="1"/>
  </cols>
  <sheetData>
    <row r="1" spans="1:9">
      <c r="A1" s="307" t="s">
        <v>544</v>
      </c>
      <c r="B1" s="308"/>
      <c r="C1" s="308"/>
      <c r="D1" s="308"/>
      <c r="E1" s="308"/>
      <c r="F1" s="308"/>
    </row>
    <row r="2" spans="1:9">
      <c r="A2" s="308"/>
      <c r="B2" s="308"/>
      <c r="C2" s="308"/>
      <c r="D2" s="308"/>
      <c r="E2" s="308"/>
      <c r="F2" s="308"/>
    </row>
    <row r="3" spans="1:9" ht="25.5">
      <c r="A3" s="180" t="s">
        <v>441</v>
      </c>
      <c r="B3" s="180" t="s">
        <v>525</v>
      </c>
      <c r="C3" s="180" t="s">
        <v>526</v>
      </c>
      <c r="D3" s="180" t="s">
        <v>527</v>
      </c>
      <c r="E3" s="180" t="s">
        <v>528</v>
      </c>
      <c r="F3" s="180" t="s">
        <v>529</v>
      </c>
      <c r="G3" s="175"/>
    </row>
    <row r="4" spans="1:9" ht="25.5">
      <c r="A4" s="177">
        <v>1</v>
      </c>
      <c r="B4" s="178" t="s">
        <v>530</v>
      </c>
      <c r="C4" s="179">
        <v>43862</v>
      </c>
      <c r="D4" s="181" t="str">
        <f ca="1">DATEDIF(C4,TODAY(),"d")&amp;"ថ្ងៃ"</f>
        <v>2229ថ្ងៃ</v>
      </c>
      <c r="E4" s="182" t="str">
        <f ca="1">DATEDIF(C4,TODAY(),"m")&amp;"ខែ"</f>
        <v>73ខែ</v>
      </c>
      <c r="F4" s="183" t="str">
        <f ca="1">DATEDIF(C4,TODAY(),"y")&amp;"ឆ្នាំ"</f>
        <v>6ឆ្នាំ</v>
      </c>
      <c r="H4" s="176"/>
    </row>
    <row r="5" spans="1:9" ht="25.5">
      <c r="A5" s="177">
        <v>2</v>
      </c>
      <c r="B5" s="178" t="s">
        <v>531</v>
      </c>
      <c r="C5" s="179">
        <v>44290</v>
      </c>
      <c r="D5" s="181" t="str">
        <f t="shared" ref="D5:D15" ca="1" si="0">DATEDIF(C5,TODAY(),"d")&amp;"ថ្ងៃ"</f>
        <v>1801ថ្ងៃ</v>
      </c>
      <c r="E5" s="182" t="str">
        <f t="shared" ref="E5:E15" ca="1" si="1">DATEDIF(C5,TODAY(),"m")&amp;"ខែ"</f>
        <v>59ខែ</v>
      </c>
      <c r="F5" s="183" t="str">
        <f t="shared" ref="F5:F15" ca="1" si="2">DATEDIF(C5,TODAY(),"y")&amp;"ឆ្នាំ"</f>
        <v>4ឆ្នាំ</v>
      </c>
      <c r="I5" s="174"/>
    </row>
    <row r="6" spans="1:9" ht="25.5">
      <c r="A6" s="177">
        <v>3</v>
      </c>
      <c r="B6" s="178" t="s">
        <v>532</v>
      </c>
      <c r="C6" s="179">
        <v>43526</v>
      </c>
      <c r="D6" s="181" t="str">
        <f t="shared" ca="1" si="0"/>
        <v>2565ថ្ងៃ</v>
      </c>
      <c r="E6" s="182" t="str">
        <f t="shared" ca="1" si="1"/>
        <v>84ខែ</v>
      </c>
      <c r="F6" s="183" t="str">
        <f t="shared" ca="1" si="2"/>
        <v>7ឆ្នាំ</v>
      </c>
    </row>
    <row r="7" spans="1:9" ht="25.5">
      <c r="A7" s="177">
        <v>4</v>
      </c>
      <c r="B7" s="178" t="s">
        <v>533</v>
      </c>
      <c r="C7" s="179">
        <v>37043</v>
      </c>
      <c r="D7" s="181" t="str">
        <f t="shared" ca="1" si="0"/>
        <v>9048ថ្ងៃ</v>
      </c>
      <c r="E7" s="182" t="str">
        <f t="shared" ca="1" si="1"/>
        <v>297ខែ</v>
      </c>
      <c r="F7" s="183" t="str">
        <f t="shared" ca="1" si="2"/>
        <v>24ឆ្នាំ</v>
      </c>
    </row>
    <row r="8" spans="1:9" ht="25.5">
      <c r="A8" s="177">
        <v>5</v>
      </c>
      <c r="B8" s="178" t="s">
        <v>534</v>
      </c>
      <c r="C8" s="179">
        <v>43707</v>
      </c>
      <c r="D8" s="181" t="str">
        <f t="shared" ca="1" si="0"/>
        <v>2384ថ្ងៃ</v>
      </c>
      <c r="E8" s="182" t="str">
        <f t="shared" ca="1" si="1"/>
        <v>78ខែ</v>
      </c>
      <c r="F8" s="183" t="str">
        <f t="shared" ca="1" si="2"/>
        <v>6ឆ្នាំ</v>
      </c>
    </row>
    <row r="9" spans="1:9" ht="25.5">
      <c r="A9" s="177">
        <v>6</v>
      </c>
      <c r="B9" s="178" t="s">
        <v>535</v>
      </c>
      <c r="C9" s="179">
        <v>40241</v>
      </c>
      <c r="D9" s="181" t="str">
        <f t="shared" ca="1" si="0"/>
        <v>5850ថ្ងៃ</v>
      </c>
      <c r="E9" s="182" t="str">
        <f t="shared" ca="1" si="1"/>
        <v>192ខែ</v>
      </c>
      <c r="F9" s="183" t="str">
        <f t="shared" ca="1" si="2"/>
        <v>16ឆ្នាំ</v>
      </c>
    </row>
    <row r="10" spans="1:9" ht="25.5">
      <c r="A10" s="177">
        <v>7</v>
      </c>
      <c r="B10" s="178" t="s">
        <v>536</v>
      </c>
      <c r="C10" s="179">
        <v>37416</v>
      </c>
      <c r="D10" s="181" t="str">
        <f t="shared" ca="1" si="0"/>
        <v>8675ថ្ងៃ</v>
      </c>
      <c r="E10" s="182" t="str">
        <f t="shared" ca="1" si="1"/>
        <v>285ខែ</v>
      </c>
      <c r="F10" s="183" t="str">
        <f t="shared" ca="1" si="2"/>
        <v>23ឆ្នាំ</v>
      </c>
    </row>
    <row r="11" spans="1:9" ht="25.5">
      <c r="A11" s="177">
        <v>8</v>
      </c>
      <c r="B11" s="178" t="s">
        <v>537</v>
      </c>
      <c r="C11" s="179">
        <v>42770</v>
      </c>
      <c r="D11" s="181" t="str">
        <f t="shared" ca="1" si="0"/>
        <v>3321ថ្ងៃ</v>
      </c>
      <c r="E11" s="182" t="str">
        <f t="shared" ca="1" si="1"/>
        <v>109ខែ</v>
      </c>
      <c r="F11" s="183" t="str">
        <f t="shared" ca="1" si="2"/>
        <v>9ឆ្នាំ</v>
      </c>
    </row>
    <row r="12" spans="1:9" ht="25.5">
      <c r="A12" s="177">
        <v>9</v>
      </c>
      <c r="B12" s="178" t="s">
        <v>538</v>
      </c>
      <c r="C12" s="179">
        <v>43170</v>
      </c>
      <c r="D12" s="181" t="str">
        <f t="shared" ca="1" si="0"/>
        <v>2921ថ្ងៃ</v>
      </c>
      <c r="E12" s="182" t="str">
        <f t="shared" ca="1" si="1"/>
        <v>95ខែ</v>
      </c>
      <c r="F12" s="183" t="str">
        <f t="shared" ca="1" si="2"/>
        <v>7ឆ្នាំ</v>
      </c>
    </row>
    <row r="13" spans="1:9" ht="25.5">
      <c r="A13" s="177">
        <v>10</v>
      </c>
      <c r="B13" s="178" t="s">
        <v>539</v>
      </c>
      <c r="C13" s="179">
        <v>42555</v>
      </c>
      <c r="D13" s="181" t="str">
        <f t="shared" ca="1" si="0"/>
        <v>3536ថ្ងៃ</v>
      </c>
      <c r="E13" s="182" t="str">
        <f t="shared" ca="1" si="1"/>
        <v>116ខែ</v>
      </c>
      <c r="F13" s="183" t="str">
        <f t="shared" ca="1" si="2"/>
        <v>9ឆ្នាំ</v>
      </c>
    </row>
    <row r="14" spans="1:9" ht="25.5">
      <c r="A14" s="177">
        <v>11</v>
      </c>
      <c r="B14" s="178" t="s">
        <v>540</v>
      </c>
      <c r="C14" s="179">
        <v>44594</v>
      </c>
      <c r="D14" s="181" t="str">
        <f t="shared" ca="1" si="0"/>
        <v>1497ថ្ងៃ</v>
      </c>
      <c r="E14" s="182" t="str">
        <f t="shared" ca="1" si="1"/>
        <v>49ខែ</v>
      </c>
      <c r="F14" s="183" t="str">
        <f t="shared" ca="1" si="2"/>
        <v>4ឆ្នាំ</v>
      </c>
    </row>
    <row r="15" spans="1:9" ht="25.5">
      <c r="A15" s="177">
        <v>12</v>
      </c>
      <c r="B15" s="178" t="s">
        <v>541</v>
      </c>
      <c r="C15" s="179">
        <v>45316</v>
      </c>
      <c r="D15" s="181" t="str">
        <f t="shared" ca="1" si="0"/>
        <v>775ថ្ងៃ</v>
      </c>
      <c r="E15" s="182" t="str">
        <f t="shared" ca="1" si="1"/>
        <v>25ខែ</v>
      </c>
      <c r="F15" s="183" t="str">
        <f t="shared" ca="1" si="2"/>
        <v>2ឆ្នាំ</v>
      </c>
    </row>
    <row r="16" spans="1:9">
      <c r="A16" s="173" t="s">
        <v>543</v>
      </c>
      <c r="B16" s="309" t="s">
        <v>542</v>
      </c>
      <c r="C16" s="310"/>
      <c r="D16" s="310"/>
      <c r="E16" s="310"/>
      <c r="F16" s="311"/>
    </row>
    <row r="17" spans="1:6" ht="15" thickBot="1"/>
    <row r="18" spans="1:6" ht="15.5" thickTop="1" thickBot="1">
      <c r="A18" s="184" t="s">
        <v>441</v>
      </c>
      <c r="B18" s="186" t="s">
        <v>545</v>
      </c>
      <c r="C18" s="186" t="s">
        <v>546</v>
      </c>
      <c r="D18" s="186" t="s">
        <v>547</v>
      </c>
    </row>
    <row r="19" spans="1:6" ht="16.5" thickTop="1" thickBot="1">
      <c r="A19" s="185">
        <v>1</v>
      </c>
      <c r="B19" s="178" t="s">
        <v>530</v>
      </c>
      <c r="C19" s="184" t="s">
        <v>548</v>
      </c>
      <c r="D19" s="184" t="s">
        <v>555</v>
      </c>
    </row>
    <row r="20" spans="1:6" ht="16.5" thickTop="1" thickBot="1">
      <c r="A20" s="185">
        <v>2</v>
      </c>
      <c r="B20" s="178" t="s">
        <v>531</v>
      </c>
      <c r="C20" s="184" t="s">
        <v>549</v>
      </c>
      <c r="D20" s="184" t="s">
        <v>550</v>
      </c>
    </row>
    <row r="21" spans="1:6" ht="16.5" thickTop="1" thickBot="1">
      <c r="A21" s="185">
        <v>3</v>
      </c>
      <c r="B21" s="178" t="s">
        <v>532</v>
      </c>
      <c r="C21" s="184" t="s">
        <v>556</v>
      </c>
      <c r="D21" s="184" t="s">
        <v>557</v>
      </c>
    </row>
    <row r="22" spans="1:6" ht="16.5" thickTop="1" thickBot="1">
      <c r="A22" s="185">
        <v>4</v>
      </c>
      <c r="B22" s="178" t="s">
        <v>533</v>
      </c>
      <c r="C22" s="184" t="s">
        <v>558</v>
      </c>
      <c r="D22" s="184" t="s">
        <v>559</v>
      </c>
    </row>
    <row r="23" spans="1:6" ht="16.5" thickTop="1" thickBot="1">
      <c r="A23" s="185">
        <v>5</v>
      </c>
      <c r="B23" s="178" t="s">
        <v>534</v>
      </c>
      <c r="C23" s="184" t="s">
        <v>551</v>
      </c>
      <c r="D23" s="184" t="s">
        <v>552</v>
      </c>
    </row>
    <row r="24" spans="1:6" ht="16.5" thickTop="1" thickBot="1">
      <c r="A24" s="185">
        <v>6</v>
      </c>
      <c r="B24" s="178" t="s">
        <v>535</v>
      </c>
      <c r="C24" s="184" t="s">
        <v>560</v>
      </c>
      <c r="D24" s="184" t="s">
        <v>561</v>
      </c>
      <c r="F24" s="58"/>
    </row>
    <row r="25" spans="1:6" ht="16.5" thickTop="1" thickBot="1">
      <c r="A25" s="185">
        <v>7</v>
      </c>
      <c r="B25" s="178" t="s">
        <v>536</v>
      </c>
      <c r="C25" s="184" t="s">
        <v>553</v>
      </c>
      <c r="D25" s="184" t="s">
        <v>554</v>
      </c>
      <c r="F25" s="58"/>
    </row>
    <row r="26" spans="1:6" ht="15" thickTop="1">
      <c r="A26" s="312" t="s">
        <v>562</v>
      </c>
      <c r="B26" s="266"/>
      <c r="C26" s="266"/>
      <c r="D26" s="266"/>
      <c r="E26" s="266"/>
    </row>
    <row r="27" spans="1:6">
      <c r="A27" s="266"/>
      <c r="B27" s="266"/>
      <c r="C27" s="266"/>
      <c r="D27" s="266"/>
      <c r="E27" s="266"/>
    </row>
  </sheetData>
  <mergeCells count="3">
    <mergeCell ref="A1:F2"/>
    <mergeCell ref="B16:F16"/>
    <mergeCell ref="A26:E27"/>
  </mergeCells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1A2BC-9142-4D99-9966-DEE1CCA80F65}">
  <dimension ref="A1:AJ18"/>
  <sheetViews>
    <sheetView zoomScale="34" workbookViewId="0">
      <selection activeCell="P27" sqref="P27"/>
    </sheetView>
  </sheetViews>
  <sheetFormatPr defaultRowHeight="14.5"/>
  <cols>
    <col min="1" max="1" width="5" customWidth="1"/>
    <col min="2" max="2" width="15.6328125" customWidth="1"/>
  </cols>
  <sheetData>
    <row r="1" spans="1:36">
      <c r="B1" s="313" t="s">
        <v>583</v>
      </c>
      <c r="C1" s="313"/>
      <c r="D1" s="313"/>
      <c r="E1" s="313"/>
      <c r="F1" s="313"/>
      <c r="G1" s="313"/>
      <c r="H1" s="313"/>
      <c r="I1" s="313"/>
      <c r="J1" s="313"/>
      <c r="K1" s="313"/>
    </row>
    <row r="2" spans="1:36">
      <c r="B2" s="314"/>
      <c r="C2" s="314"/>
      <c r="D2" s="314"/>
      <c r="E2" s="314"/>
      <c r="F2" s="314"/>
      <c r="G2" s="314"/>
      <c r="H2" s="314"/>
      <c r="I2" s="314"/>
      <c r="J2" s="314"/>
      <c r="K2" s="314"/>
    </row>
    <row r="3" spans="1:36">
      <c r="A3" s="187"/>
      <c r="B3" s="187"/>
      <c r="C3" s="188" t="s">
        <v>564</v>
      </c>
      <c r="D3" s="188" t="s">
        <v>565</v>
      </c>
      <c r="E3" s="188" t="s">
        <v>1</v>
      </c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</row>
    <row r="4" spans="1:36" ht="23">
      <c r="A4" s="194" t="s">
        <v>563</v>
      </c>
      <c r="B4" s="194" t="s">
        <v>584</v>
      </c>
      <c r="C4" s="194" t="s">
        <v>577</v>
      </c>
      <c r="D4" s="194" t="s">
        <v>578</v>
      </c>
      <c r="E4" s="194" t="s">
        <v>579</v>
      </c>
      <c r="F4" s="195">
        <v>1</v>
      </c>
      <c r="G4" s="195">
        <v>2</v>
      </c>
      <c r="H4" s="195">
        <v>3</v>
      </c>
      <c r="I4" s="195">
        <v>4</v>
      </c>
      <c r="J4" s="195">
        <v>5</v>
      </c>
      <c r="K4" s="195">
        <v>6</v>
      </c>
      <c r="L4" s="195">
        <v>7</v>
      </c>
      <c r="M4" s="195">
        <v>8</v>
      </c>
      <c r="N4" s="195">
        <v>9</v>
      </c>
      <c r="O4" s="195">
        <v>10</v>
      </c>
      <c r="P4" s="195">
        <v>11</v>
      </c>
      <c r="Q4" s="195">
        <v>12</v>
      </c>
      <c r="R4" s="195">
        <v>13</v>
      </c>
      <c r="S4" s="195">
        <v>14</v>
      </c>
      <c r="T4" s="195">
        <v>15</v>
      </c>
      <c r="U4" s="195">
        <v>16</v>
      </c>
      <c r="V4" s="195">
        <v>17</v>
      </c>
      <c r="W4" s="195">
        <v>18</v>
      </c>
      <c r="X4" s="195">
        <v>19</v>
      </c>
      <c r="Y4" s="195">
        <v>20</v>
      </c>
      <c r="Z4" s="195">
        <v>21</v>
      </c>
      <c r="AA4" s="195">
        <v>22</v>
      </c>
      <c r="AB4" s="195">
        <v>23</v>
      </c>
      <c r="AC4" s="195">
        <v>24</v>
      </c>
      <c r="AD4" s="195">
        <v>25</v>
      </c>
      <c r="AE4" s="195">
        <v>26</v>
      </c>
      <c r="AF4" s="195">
        <v>27</v>
      </c>
      <c r="AG4" s="195">
        <v>28</v>
      </c>
      <c r="AH4" s="195">
        <v>29</v>
      </c>
      <c r="AI4" s="195">
        <v>30</v>
      </c>
      <c r="AJ4" s="195">
        <v>31</v>
      </c>
    </row>
    <row r="5" spans="1:36" ht="23">
      <c r="A5" s="193">
        <v>1</v>
      </c>
      <c r="B5" s="189" t="s">
        <v>566</v>
      </c>
      <c r="C5" s="190">
        <f>COUNTIF(F5:Q5,"P")</f>
        <v>4</v>
      </c>
      <c r="D5" s="191">
        <f>COUNTIF(F5:P5,"L")</f>
        <v>3</v>
      </c>
      <c r="E5" s="192">
        <f>COUNTIF(F5:AJ5,"a")</f>
        <v>3</v>
      </c>
      <c r="F5" s="189" t="s">
        <v>580</v>
      </c>
      <c r="G5" s="189"/>
      <c r="H5" s="189" t="s">
        <v>581</v>
      </c>
      <c r="I5" s="189" t="s">
        <v>582</v>
      </c>
      <c r="J5" s="189" t="s">
        <v>582</v>
      </c>
      <c r="K5" s="189" t="s">
        <v>582</v>
      </c>
      <c r="L5" s="189" t="s">
        <v>581</v>
      </c>
      <c r="M5" s="189" t="s">
        <v>581</v>
      </c>
      <c r="N5" s="189" t="s">
        <v>580</v>
      </c>
      <c r="O5" s="189" t="s">
        <v>580</v>
      </c>
      <c r="P5" s="189" t="s">
        <v>580</v>
      </c>
      <c r="Q5" s="189"/>
      <c r="R5" s="189"/>
      <c r="S5" s="189"/>
      <c r="T5" s="189"/>
      <c r="U5" s="189"/>
      <c r="V5" s="189"/>
      <c r="W5" s="189"/>
      <c r="X5" s="189"/>
      <c r="Y5" s="189"/>
      <c r="Z5" s="189"/>
      <c r="AA5" s="189"/>
      <c r="AB5" s="189"/>
      <c r="AC5" s="189"/>
      <c r="AD5" s="189"/>
      <c r="AE5" s="189"/>
      <c r="AF5" s="189"/>
      <c r="AG5" s="189"/>
      <c r="AH5" s="189"/>
      <c r="AI5" s="189"/>
      <c r="AJ5" s="189"/>
    </row>
    <row r="6" spans="1:36" ht="23">
      <c r="A6" s="193">
        <v>2</v>
      </c>
      <c r="B6" s="189" t="s">
        <v>567</v>
      </c>
      <c r="C6" s="190">
        <f t="shared" ref="C6:C18" si="0">COUNTIF(F6:Q6,"P")</f>
        <v>2</v>
      </c>
      <c r="D6" s="191">
        <f t="shared" ref="D6:D18" si="1">COUNTIF(F6:P6,"L")</f>
        <v>1</v>
      </c>
      <c r="E6" s="192">
        <f t="shared" ref="E6:E18" si="2">COUNTIF(F6:AJ6,"a")</f>
        <v>0</v>
      </c>
      <c r="F6" s="189" t="s">
        <v>580</v>
      </c>
      <c r="G6" s="189"/>
      <c r="H6" s="189" t="s">
        <v>581</v>
      </c>
      <c r="I6" s="189"/>
      <c r="J6" s="189" t="s">
        <v>580</v>
      </c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  <c r="AA6" s="189"/>
      <c r="AB6" s="189"/>
      <c r="AC6" s="189"/>
      <c r="AD6" s="189"/>
      <c r="AE6" s="189"/>
      <c r="AF6" s="189"/>
      <c r="AG6" s="189"/>
      <c r="AH6" s="189"/>
      <c r="AI6" s="189"/>
      <c r="AJ6" s="189"/>
    </row>
    <row r="7" spans="1:36" ht="23">
      <c r="A7" s="193">
        <v>3</v>
      </c>
      <c r="B7" s="189" t="s">
        <v>568</v>
      </c>
      <c r="C7" s="190">
        <f t="shared" si="0"/>
        <v>0</v>
      </c>
      <c r="D7" s="191">
        <f t="shared" si="1"/>
        <v>0</v>
      </c>
      <c r="E7" s="192">
        <f t="shared" si="2"/>
        <v>0</v>
      </c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89"/>
      <c r="AC7" s="189"/>
      <c r="AD7" s="189"/>
      <c r="AE7" s="189"/>
      <c r="AF7" s="189"/>
      <c r="AG7" s="189"/>
      <c r="AH7" s="189"/>
      <c r="AI7" s="189"/>
      <c r="AJ7" s="189"/>
    </row>
    <row r="8" spans="1:36" ht="23">
      <c r="A8" s="193">
        <v>4</v>
      </c>
      <c r="B8" s="189" t="s">
        <v>569</v>
      </c>
      <c r="C8" s="190">
        <f t="shared" si="0"/>
        <v>0</v>
      </c>
      <c r="D8" s="191">
        <f t="shared" si="1"/>
        <v>1</v>
      </c>
      <c r="E8" s="192">
        <f t="shared" si="2"/>
        <v>1</v>
      </c>
      <c r="F8" s="189" t="s">
        <v>582</v>
      </c>
      <c r="G8" s="189"/>
      <c r="H8" s="189"/>
      <c r="I8" s="189" t="s">
        <v>581</v>
      </c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89"/>
      <c r="AF8" s="189"/>
      <c r="AG8" s="189"/>
      <c r="AH8" s="189"/>
      <c r="AI8" s="189"/>
      <c r="AJ8" s="189"/>
    </row>
    <row r="9" spans="1:36" ht="23">
      <c r="A9" s="193">
        <v>5</v>
      </c>
      <c r="B9" s="189" t="s">
        <v>570</v>
      </c>
      <c r="C9" s="190">
        <f t="shared" si="0"/>
        <v>1</v>
      </c>
      <c r="D9" s="191">
        <f t="shared" si="1"/>
        <v>1</v>
      </c>
      <c r="E9" s="192">
        <f t="shared" si="2"/>
        <v>1</v>
      </c>
      <c r="F9" s="189" t="s">
        <v>581</v>
      </c>
      <c r="G9" s="189" t="s">
        <v>582</v>
      </c>
      <c r="H9" s="189"/>
      <c r="I9" s="189"/>
      <c r="J9" s="189" t="s">
        <v>580</v>
      </c>
      <c r="K9" s="189"/>
      <c r="L9" s="189"/>
      <c r="M9" s="189"/>
      <c r="N9" s="189"/>
      <c r="O9" s="189"/>
      <c r="P9" s="189"/>
      <c r="Q9" s="189"/>
      <c r="R9" s="189"/>
      <c r="S9" s="189"/>
      <c r="T9" s="189"/>
      <c r="U9" s="189"/>
      <c r="V9" s="189"/>
      <c r="W9" s="189"/>
      <c r="X9" s="189"/>
      <c r="Y9" s="189"/>
      <c r="Z9" s="189"/>
      <c r="AA9" s="189"/>
      <c r="AB9" s="189"/>
      <c r="AC9" s="189"/>
      <c r="AD9" s="189"/>
      <c r="AE9" s="189"/>
      <c r="AF9" s="189"/>
      <c r="AG9" s="189"/>
      <c r="AH9" s="189"/>
      <c r="AI9" s="189"/>
      <c r="AJ9" s="189"/>
    </row>
    <row r="10" spans="1:36" ht="23">
      <c r="A10" s="193">
        <v>6</v>
      </c>
      <c r="B10" s="189" t="s">
        <v>459</v>
      </c>
      <c r="C10" s="190">
        <f t="shared" si="0"/>
        <v>0</v>
      </c>
      <c r="D10" s="191">
        <f t="shared" si="1"/>
        <v>0</v>
      </c>
      <c r="E10" s="192">
        <f t="shared" si="2"/>
        <v>0</v>
      </c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  <c r="AJ10" s="189"/>
    </row>
    <row r="11" spans="1:36" ht="23">
      <c r="A11" s="193">
        <v>7</v>
      </c>
      <c r="B11" s="189" t="s">
        <v>571</v>
      </c>
      <c r="C11" s="190">
        <f t="shared" si="0"/>
        <v>0</v>
      </c>
      <c r="D11" s="191">
        <f t="shared" si="1"/>
        <v>3</v>
      </c>
      <c r="E11" s="192">
        <f t="shared" si="2"/>
        <v>0</v>
      </c>
      <c r="F11" s="189" t="s">
        <v>581</v>
      </c>
      <c r="G11" s="189"/>
      <c r="H11" s="189" t="s">
        <v>581</v>
      </c>
      <c r="I11" s="189" t="s">
        <v>581</v>
      </c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  <c r="Z11" s="189"/>
      <c r="AA11" s="189"/>
      <c r="AB11" s="189"/>
      <c r="AC11" s="189"/>
      <c r="AD11" s="189"/>
      <c r="AE11" s="189"/>
      <c r="AF11" s="189"/>
      <c r="AG11" s="189"/>
      <c r="AH11" s="189"/>
      <c r="AI11" s="189"/>
      <c r="AJ11" s="189"/>
    </row>
    <row r="12" spans="1:36" ht="23">
      <c r="A12" s="193">
        <v>8</v>
      </c>
      <c r="B12" s="189" t="s">
        <v>460</v>
      </c>
      <c r="C12" s="190">
        <f t="shared" si="0"/>
        <v>0</v>
      </c>
      <c r="D12" s="191">
        <f t="shared" si="1"/>
        <v>1</v>
      </c>
      <c r="E12" s="192">
        <f t="shared" si="2"/>
        <v>1</v>
      </c>
      <c r="F12" s="189" t="s">
        <v>581</v>
      </c>
      <c r="G12" s="189" t="s">
        <v>582</v>
      </c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/>
      <c r="X12" s="189"/>
      <c r="Y12" s="189"/>
      <c r="Z12" s="189"/>
      <c r="AA12" s="189"/>
      <c r="AB12" s="189"/>
      <c r="AC12" s="189"/>
      <c r="AD12" s="189"/>
      <c r="AE12" s="189"/>
      <c r="AF12" s="189"/>
      <c r="AG12" s="189"/>
      <c r="AH12" s="189"/>
      <c r="AI12" s="189"/>
      <c r="AJ12" s="189"/>
    </row>
    <row r="13" spans="1:36" ht="23">
      <c r="A13" s="193">
        <v>9</v>
      </c>
      <c r="B13" s="189" t="s">
        <v>461</v>
      </c>
      <c r="C13" s="190">
        <f t="shared" si="0"/>
        <v>1</v>
      </c>
      <c r="D13" s="191">
        <f t="shared" si="1"/>
        <v>0</v>
      </c>
      <c r="E13" s="192">
        <f t="shared" si="2"/>
        <v>1</v>
      </c>
      <c r="F13" s="189" t="s">
        <v>582</v>
      </c>
      <c r="G13" s="189"/>
      <c r="H13" s="189"/>
      <c r="I13" s="189"/>
      <c r="J13" s="189" t="s">
        <v>580</v>
      </c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189"/>
      <c r="AJ13" s="189"/>
    </row>
    <row r="14" spans="1:36" ht="23">
      <c r="A14" s="193">
        <v>10</v>
      </c>
      <c r="B14" s="189" t="s">
        <v>572</v>
      </c>
      <c r="C14" s="190">
        <f t="shared" si="0"/>
        <v>0</v>
      </c>
      <c r="D14" s="191">
        <f t="shared" si="1"/>
        <v>1</v>
      </c>
      <c r="E14" s="192">
        <f t="shared" si="2"/>
        <v>1</v>
      </c>
      <c r="F14" s="189" t="s">
        <v>582</v>
      </c>
      <c r="G14" s="189"/>
      <c r="H14" s="189"/>
      <c r="I14" s="189" t="s">
        <v>581</v>
      </c>
      <c r="J14" s="189"/>
      <c r="K14" s="189"/>
      <c r="L14" s="189"/>
      <c r="M14" s="189"/>
      <c r="N14" s="189"/>
      <c r="O14" s="189"/>
      <c r="P14" s="189"/>
      <c r="Q14" s="189"/>
      <c r="R14" s="189"/>
      <c r="S14" s="189"/>
      <c r="T14" s="189"/>
      <c r="U14" s="189"/>
      <c r="V14" s="189"/>
      <c r="W14" s="189"/>
      <c r="X14" s="189"/>
      <c r="Y14" s="189"/>
      <c r="Z14" s="189"/>
      <c r="AA14" s="189"/>
      <c r="AB14" s="189"/>
      <c r="AC14" s="189"/>
      <c r="AD14" s="189"/>
      <c r="AE14" s="189"/>
      <c r="AF14" s="189"/>
      <c r="AG14" s="189"/>
      <c r="AH14" s="189"/>
      <c r="AI14" s="189"/>
      <c r="AJ14" s="189"/>
    </row>
    <row r="15" spans="1:36" ht="23">
      <c r="A15" s="193">
        <v>11</v>
      </c>
      <c r="B15" s="189" t="s">
        <v>573</v>
      </c>
      <c r="C15" s="190">
        <f t="shared" si="0"/>
        <v>0</v>
      </c>
      <c r="D15" s="191">
        <f t="shared" si="1"/>
        <v>0</v>
      </c>
      <c r="E15" s="192">
        <f t="shared" si="2"/>
        <v>1</v>
      </c>
      <c r="F15" s="189"/>
      <c r="G15" s="189" t="s">
        <v>582</v>
      </c>
      <c r="H15" s="189"/>
      <c r="I15" s="189"/>
      <c r="J15" s="189"/>
      <c r="K15" s="189"/>
      <c r="L15" s="189"/>
      <c r="M15" s="189"/>
      <c r="N15" s="189"/>
      <c r="O15" s="189"/>
      <c r="P15" s="189"/>
      <c r="Q15" s="189"/>
      <c r="R15" s="189"/>
      <c r="S15" s="189"/>
      <c r="T15" s="189"/>
      <c r="U15" s="189"/>
      <c r="V15" s="189"/>
      <c r="W15" s="189"/>
      <c r="X15" s="189"/>
      <c r="Y15" s="189"/>
      <c r="Z15" s="189"/>
      <c r="AA15" s="189"/>
      <c r="AB15" s="189"/>
      <c r="AC15" s="189"/>
      <c r="AD15" s="189"/>
      <c r="AE15" s="189"/>
      <c r="AF15" s="189"/>
      <c r="AG15" s="189"/>
      <c r="AH15" s="189"/>
      <c r="AI15" s="189"/>
      <c r="AJ15" s="189"/>
    </row>
    <row r="16" spans="1:36" ht="23">
      <c r="A16" s="193">
        <v>12</v>
      </c>
      <c r="B16" s="189" t="s">
        <v>574</v>
      </c>
      <c r="C16" s="190">
        <f t="shared" si="0"/>
        <v>1</v>
      </c>
      <c r="D16" s="191">
        <f t="shared" si="1"/>
        <v>1</v>
      </c>
      <c r="E16" s="192">
        <f t="shared" si="2"/>
        <v>0</v>
      </c>
      <c r="F16" s="189"/>
      <c r="G16" s="189"/>
      <c r="H16" s="189" t="s">
        <v>581</v>
      </c>
      <c r="I16" s="189"/>
      <c r="J16" s="189" t="s">
        <v>580</v>
      </c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89"/>
      <c r="AA16" s="189"/>
      <c r="AB16" s="189"/>
      <c r="AC16" s="189"/>
      <c r="AD16" s="189"/>
      <c r="AE16" s="189"/>
      <c r="AF16" s="189"/>
      <c r="AG16" s="189"/>
      <c r="AH16" s="189"/>
      <c r="AI16" s="189"/>
      <c r="AJ16" s="189"/>
    </row>
    <row r="17" spans="1:36" ht="23">
      <c r="A17" s="193">
        <v>13</v>
      </c>
      <c r="B17" s="189" t="s">
        <v>575</v>
      </c>
      <c r="C17" s="190">
        <f t="shared" si="0"/>
        <v>0</v>
      </c>
      <c r="D17" s="191">
        <f t="shared" si="1"/>
        <v>1</v>
      </c>
      <c r="E17" s="192">
        <f t="shared" si="2"/>
        <v>0</v>
      </c>
      <c r="F17" s="189" t="s">
        <v>581</v>
      </c>
      <c r="G17" s="189"/>
      <c r="H17" s="189"/>
      <c r="I17" s="189"/>
      <c r="J17" s="189"/>
      <c r="K17" s="189"/>
      <c r="L17" s="189"/>
      <c r="M17" s="189"/>
      <c r="N17" s="189"/>
      <c r="O17" s="189"/>
      <c r="P17" s="189"/>
      <c r="Q17" s="189"/>
      <c r="R17" s="189"/>
      <c r="S17" s="189"/>
      <c r="T17" s="189"/>
      <c r="U17" s="189"/>
      <c r="V17" s="189"/>
      <c r="W17" s="189"/>
      <c r="X17" s="189"/>
      <c r="Y17" s="189"/>
      <c r="Z17" s="189"/>
      <c r="AA17" s="189"/>
      <c r="AB17" s="189"/>
      <c r="AC17" s="189"/>
      <c r="AD17" s="189"/>
      <c r="AE17" s="189"/>
      <c r="AF17" s="189"/>
      <c r="AG17" s="189"/>
      <c r="AH17" s="189"/>
      <c r="AI17" s="189"/>
      <c r="AJ17" s="189"/>
    </row>
    <row r="18" spans="1:36" ht="23">
      <c r="A18" s="193">
        <v>14</v>
      </c>
      <c r="B18" s="189" t="s">
        <v>576</v>
      </c>
      <c r="C18" s="190">
        <f t="shared" si="0"/>
        <v>1</v>
      </c>
      <c r="D18" s="191">
        <f t="shared" si="1"/>
        <v>2</v>
      </c>
      <c r="E18" s="192">
        <f t="shared" si="2"/>
        <v>1</v>
      </c>
      <c r="F18" s="189" t="s">
        <v>581</v>
      </c>
      <c r="G18" s="189" t="s">
        <v>582</v>
      </c>
      <c r="H18" s="189" t="s">
        <v>581</v>
      </c>
      <c r="I18" s="189"/>
      <c r="J18" s="189" t="s">
        <v>580</v>
      </c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189"/>
      <c r="AF18" s="189"/>
      <c r="AG18" s="189"/>
      <c r="AH18" s="189"/>
      <c r="AI18" s="189"/>
      <c r="AJ18" s="189"/>
    </row>
  </sheetData>
  <mergeCells count="1">
    <mergeCell ref="B1:K2"/>
  </mergeCells>
  <conditionalFormatting sqref="F5:P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A9CD6-7D09-48CC-A701-50AF5BBF84A6}">
  <dimension ref="A1:I16"/>
  <sheetViews>
    <sheetView tabSelected="1" zoomScale="45" zoomScaleNormal="108" workbookViewId="0">
      <selection activeCell="E19" sqref="E19"/>
    </sheetView>
  </sheetViews>
  <sheetFormatPr defaultRowHeight="17"/>
  <cols>
    <col min="1" max="1" width="6.1796875" style="318" customWidth="1"/>
    <col min="2" max="9" width="24.1796875" style="318" customWidth="1"/>
    <col min="10" max="16384" width="8.7265625" style="318"/>
  </cols>
  <sheetData>
    <row r="1" spans="1:9">
      <c r="A1" s="316" t="s">
        <v>585</v>
      </c>
      <c r="B1" s="317"/>
      <c r="C1" s="317"/>
      <c r="D1" s="317"/>
      <c r="E1" s="317"/>
      <c r="F1" s="317"/>
      <c r="G1" s="317"/>
      <c r="H1" s="317"/>
      <c r="I1" s="317"/>
    </row>
    <row r="2" spans="1:9">
      <c r="A2" s="317"/>
      <c r="B2" s="317"/>
      <c r="C2" s="317"/>
      <c r="D2" s="317"/>
      <c r="E2" s="317"/>
      <c r="F2" s="317"/>
      <c r="G2" s="317"/>
      <c r="H2" s="317"/>
      <c r="I2" s="317"/>
    </row>
    <row r="3" spans="1:9">
      <c r="D3" s="317" t="s">
        <v>586</v>
      </c>
      <c r="E3" s="317"/>
      <c r="F3" s="317"/>
    </row>
    <row r="4" spans="1:9">
      <c r="A4" s="319" t="s">
        <v>103</v>
      </c>
      <c r="B4" s="319" t="s">
        <v>587</v>
      </c>
      <c r="C4" s="319" t="s">
        <v>588</v>
      </c>
      <c r="D4" s="319" t="s">
        <v>339</v>
      </c>
      <c r="E4" s="319" t="s">
        <v>340</v>
      </c>
      <c r="F4" s="319" t="s">
        <v>341</v>
      </c>
      <c r="G4" s="319" t="s">
        <v>342</v>
      </c>
      <c r="H4" s="319" t="s">
        <v>343</v>
      </c>
      <c r="I4" s="319" t="s">
        <v>108</v>
      </c>
    </row>
    <row r="5" spans="1:9">
      <c r="A5" s="320">
        <v>1</v>
      </c>
      <c r="B5" s="315" t="s">
        <v>589</v>
      </c>
      <c r="C5" s="321">
        <v>2</v>
      </c>
      <c r="D5" s="321">
        <v>46032</v>
      </c>
      <c r="E5" s="319" t="s">
        <v>1</v>
      </c>
      <c r="F5" s="319">
        <v>8</v>
      </c>
      <c r="G5" s="322"/>
      <c r="H5" s="319"/>
      <c r="I5" s="319"/>
    </row>
    <row r="6" spans="1:9">
      <c r="A6" s="320">
        <v>2</v>
      </c>
      <c r="B6" s="315" t="s">
        <v>347</v>
      </c>
      <c r="C6" s="321">
        <v>36</v>
      </c>
      <c r="D6" s="321">
        <v>46078</v>
      </c>
      <c r="E6" s="319" t="s">
        <v>2</v>
      </c>
      <c r="F6" s="319">
        <v>20</v>
      </c>
      <c r="G6" s="322"/>
      <c r="H6" s="319"/>
      <c r="I6" s="319"/>
    </row>
    <row r="7" spans="1:9">
      <c r="A7" s="320">
        <v>3</v>
      </c>
      <c r="B7" s="315" t="s">
        <v>208</v>
      </c>
      <c r="C7" s="321">
        <v>46087</v>
      </c>
      <c r="D7" s="321">
        <v>46102</v>
      </c>
      <c r="E7" s="319" t="s">
        <v>3</v>
      </c>
      <c r="F7" s="319">
        <v>15</v>
      </c>
      <c r="G7" s="322"/>
      <c r="H7" s="319"/>
      <c r="I7" s="319"/>
    </row>
    <row r="8" spans="1:9">
      <c r="A8" s="320">
        <v>4</v>
      </c>
      <c r="B8" s="315" t="s">
        <v>348</v>
      </c>
      <c r="C8" s="321">
        <v>46149</v>
      </c>
      <c r="D8" s="321">
        <v>46180</v>
      </c>
      <c r="E8" s="319" t="s">
        <v>1</v>
      </c>
      <c r="F8" s="319">
        <v>31</v>
      </c>
      <c r="G8" s="322"/>
      <c r="H8" s="319"/>
      <c r="I8" s="319"/>
    </row>
    <row r="9" spans="1:9">
      <c r="A9" s="320">
        <v>5</v>
      </c>
      <c r="B9" s="315" t="s">
        <v>210</v>
      </c>
      <c r="C9" s="321">
        <v>46181</v>
      </c>
      <c r="D9" s="321">
        <v>46229</v>
      </c>
      <c r="E9" s="319" t="s">
        <v>5</v>
      </c>
      <c r="F9" s="319">
        <v>48</v>
      </c>
      <c r="G9" s="322"/>
      <c r="H9" s="319"/>
      <c r="I9" s="319"/>
    </row>
    <row r="10" spans="1:9">
      <c r="A10" s="320">
        <v>6</v>
      </c>
      <c r="B10" s="315" t="s">
        <v>590</v>
      </c>
      <c r="C10" s="321">
        <v>46182</v>
      </c>
      <c r="D10" s="321">
        <v>46217</v>
      </c>
      <c r="E10" s="319" t="s">
        <v>4</v>
      </c>
      <c r="F10" s="319">
        <v>35</v>
      </c>
      <c r="G10" s="322"/>
      <c r="H10" s="319"/>
      <c r="I10" s="319"/>
    </row>
    <row r="11" spans="1:9">
      <c r="A11" s="320">
        <v>7</v>
      </c>
      <c r="B11" s="315" t="s">
        <v>212</v>
      </c>
      <c r="C11" s="321">
        <v>46185</v>
      </c>
      <c r="D11" s="321">
        <v>46235</v>
      </c>
      <c r="E11" s="319" t="s">
        <v>4</v>
      </c>
      <c r="F11" s="319">
        <v>50</v>
      </c>
      <c r="G11" s="322"/>
      <c r="H11" s="319"/>
      <c r="I11" s="319"/>
    </row>
    <row r="12" spans="1:9">
      <c r="A12" s="320">
        <v>8</v>
      </c>
      <c r="B12" s="315" t="s">
        <v>350</v>
      </c>
      <c r="C12" s="321">
        <v>46239</v>
      </c>
      <c r="D12" s="321">
        <v>46244</v>
      </c>
      <c r="E12" s="319" t="s">
        <v>2</v>
      </c>
      <c r="F12" s="319">
        <v>5</v>
      </c>
      <c r="G12" s="322"/>
      <c r="H12" s="319"/>
      <c r="I12" s="319"/>
    </row>
    <row r="13" spans="1:9">
      <c r="A13" s="320">
        <v>9</v>
      </c>
      <c r="B13" s="315" t="s">
        <v>220</v>
      </c>
      <c r="C13" s="321">
        <v>46249</v>
      </c>
      <c r="D13" s="321">
        <v>46266</v>
      </c>
      <c r="E13" s="319" t="s">
        <v>2</v>
      </c>
      <c r="F13" s="319">
        <v>47</v>
      </c>
      <c r="G13" s="322"/>
      <c r="H13" s="319"/>
      <c r="I13" s="319"/>
    </row>
    <row r="14" spans="1:9">
      <c r="A14" s="320">
        <v>10</v>
      </c>
      <c r="B14" s="315" t="s">
        <v>221</v>
      </c>
      <c r="C14" s="321">
        <v>46266</v>
      </c>
      <c r="D14" s="321">
        <v>46280</v>
      </c>
      <c r="E14" s="319" t="s">
        <v>5</v>
      </c>
      <c r="F14" s="319">
        <v>44</v>
      </c>
      <c r="G14" s="322"/>
      <c r="H14" s="319"/>
      <c r="I14" s="319"/>
    </row>
    <row r="15" spans="1:9">
      <c r="A15" s="320">
        <v>11</v>
      </c>
      <c r="B15" s="315" t="s">
        <v>222</v>
      </c>
      <c r="C15" s="321">
        <v>46270</v>
      </c>
      <c r="D15" s="321">
        <v>46277</v>
      </c>
      <c r="E15" s="319" t="s">
        <v>3</v>
      </c>
      <c r="F15" s="319">
        <v>7</v>
      </c>
      <c r="G15" s="322"/>
      <c r="H15" s="319"/>
      <c r="I15" s="319"/>
    </row>
    <row r="16" spans="1:9">
      <c r="A16" s="320">
        <v>12</v>
      </c>
      <c r="B16" s="315" t="s">
        <v>351</v>
      </c>
      <c r="C16" s="321">
        <v>46285</v>
      </c>
      <c r="D16" s="321">
        <v>46299</v>
      </c>
      <c r="E16" s="319" t="s">
        <v>1</v>
      </c>
      <c r="F16" s="319">
        <v>14</v>
      </c>
      <c r="G16" s="322"/>
      <c r="H16" s="319"/>
      <c r="I16" s="319"/>
    </row>
  </sheetData>
  <mergeCells count="2">
    <mergeCell ref="A1:I2"/>
    <mergeCell ref="D3:F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MDC</dc:creator>
  <cp:lastModifiedBy>MDC</cp:lastModifiedBy>
  <cp:lastPrinted>2024-07-10T10:18:15Z</cp:lastPrinted>
  <dcterms:created xsi:type="dcterms:W3CDTF">2024-07-03T10:12:32Z</dcterms:created>
  <dcterms:modified xsi:type="dcterms:W3CDTF">2026-03-10T14:12:07Z</dcterms:modified>
</cp:coreProperties>
</file>